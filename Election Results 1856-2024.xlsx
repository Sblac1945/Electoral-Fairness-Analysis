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1a39b83941b2ef/Documents/"/>
    </mc:Choice>
  </mc:AlternateContent>
  <xr:revisionPtr revIDLastSave="617" documentId="11_F25DC773A252ABDACC104867A11F7E7A5BDE58E9" xr6:coauthVersionLast="47" xr6:coauthVersionMax="47" xr10:uidLastSave="{B245B38B-9FA2-4EA2-8B12-9E1D720E867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I3" i="1"/>
  <c r="H3" i="1"/>
  <c r="E3" i="1"/>
  <c r="D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O3" i="1"/>
  <c r="N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S3" i="1"/>
  <c r="R3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</calcChain>
</file>

<file path=xl/sharedStrings.xml><?xml version="1.0" encoding="utf-8"?>
<sst xmlns="http://schemas.openxmlformats.org/spreadsheetml/2006/main" count="25" uniqueCount="20">
  <si>
    <t>Presidential</t>
  </si>
  <si>
    <t>Year</t>
  </si>
  <si>
    <t>Democrat PV</t>
  </si>
  <si>
    <t>Republican PV</t>
  </si>
  <si>
    <t>Democrat EV</t>
  </si>
  <si>
    <t>Republican EV</t>
  </si>
  <si>
    <t>House</t>
  </si>
  <si>
    <t>Democrat Seats</t>
  </si>
  <si>
    <t>Republican Seats</t>
  </si>
  <si>
    <t>Democrat EV Percentage</t>
  </si>
  <si>
    <t>Republican EV Percentage</t>
  </si>
  <si>
    <t>Democrat Seats Percentage</t>
  </si>
  <si>
    <t>Republican Seats Percentage</t>
  </si>
  <si>
    <t>Democrat PV (Two-Party)</t>
  </si>
  <si>
    <t>Republican PV (Two Party)</t>
  </si>
  <si>
    <t>Note: Using Northern Democratic Party</t>
  </si>
  <si>
    <t>Note: Compromise of 1877</t>
  </si>
  <si>
    <t>Note: Sum of all anti-Grant votes = Dem votes, Greeley died</t>
  </si>
  <si>
    <t>Note: Those proportions are implausible</t>
  </si>
  <si>
    <t>Note: Regular 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</si>
</sst>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topLeftCell="A33" workbookViewId="0">
      <selection activeCell="G46" sqref="G46"/>
    </sheetView>
  </sheetViews>
  <sheetFormatPr defaultRowHeight="14.5" x14ac:dyDescent="0.35"/>
  <sheetData>
    <row r="1" spans="1:19" x14ac:dyDescent="0.35">
      <c r="A1" t="s">
        <v>0</v>
      </c>
      <c r="K1" t="s">
        <v>6</v>
      </c>
    </row>
    <row r="2" spans="1:19" x14ac:dyDescent="0.35">
      <c r="A2" t="s">
        <v>1</v>
      </c>
      <c r="B2" t="s">
        <v>2</v>
      </c>
      <c r="C2" t="s">
        <v>3</v>
      </c>
      <c r="D2" t="s">
        <v>13</v>
      </c>
      <c r="E2" t="s">
        <v>14</v>
      </c>
      <c r="F2" t="s">
        <v>4</v>
      </c>
      <c r="G2" t="s">
        <v>5</v>
      </c>
      <c r="H2" t="s">
        <v>9</v>
      </c>
      <c r="I2" t="s">
        <v>10</v>
      </c>
      <c r="K2" t="s">
        <v>1</v>
      </c>
      <c r="L2" t="s">
        <v>2</v>
      </c>
      <c r="M2" t="s">
        <v>3</v>
      </c>
      <c r="N2" t="s">
        <v>13</v>
      </c>
      <c r="O2" t="s">
        <v>14</v>
      </c>
      <c r="P2" t="s">
        <v>7</v>
      </c>
      <c r="Q2" t="s">
        <v>8</v>
      </c>
      <c r="R2" t="s">
        <v>11</v>
      </c>
      <c r="S2" t="s">
        <v>12</v>
      </c>
    </row>
    <row r="3" spans="1:19" x14ac:dyDescent="0.35">
      <c r="A3">
        <v>1856</v>
      </c>
      <c r="B3">
        <v>45.3</v>
      </c>
      <c r="C3">
        <v>33.1</v>
      </c>
      <c r="D3">
        <f>B3/(B3+C3)</f>
        <v>0.57780612244897955</v>
      </c>
      <c r="E3">
        <f>C3/(B3+C3)</f>
        <v>0.42219387755102039</v>
      </c>
      <c r="F3">
        <v>174</v>
      </c>
      <c r="G3">
        <v>114</v>
      </c>
      <c r="H3">
        <f>F3/(F3+G3)</f>
        <v>0.60416666666666663</v>
      </c>
      <c r="I3">
        <f>G3/(F3+G3)</f>
        <v>0.39583333333333331</v>
      </c>
      <c r="K3">
        <v>1856</v>
      </c>
      <c r="L3">
        <v>46.85</v>
      </c>
      <c r="M3">
        <v>36.979999999999997</v>
      </c>
      <c r="N3">
        <f>L3/(L3+M3)</f>
        <v>0.55886913992604081</v>
      </c>
      <c r="O3">
        <f>M3/(L3+M3)</f>
        <v>0.44113086007395919</v>
      </c>
      <c r="P3">
        <v>132</v>
      </c>
      <c r="Q3">
        <v>90</v>
      </c>
      <c r="R3">
        <f>P3/(P3+Q3)</f>
        <v>0.59459459459459463</v>
      </c>
      <c r="S3">
        <f>Q3/(P3+Q3)</f>
        <v>0.40540540540540543</v>
      </c>
    </row>
    <row r="4" spans="1:19" x14ac:dyDescent="0.35">
      <c r="A4">
        <f>A3+4</f>
        <v>1860</v>
      </c>
      <c r="B4">
        <v>21.5</v>
      </c>
      <c r="C4">
        <v>39.700000000000003</v>
      </c>
      <c r="D4">
        <f t="shared" ref="D4:D45" si="0">B4/(B4+C4)</f>
        <v>0.35130718954248363</v>
      </c>
      <c r="E4">
        <f t="shared" ref="E4:E45" si="1">C4/(B4+C4)</f>
        <v>0.64869281045751637</v>
      </c>
      <c r="F4">
        <v>12</v>
      </c>
      <c r="G4">
        <v>180</v>
      </c>
      <c r="H4">
        <f t="shared" ref="H4:H45" si="2">F4/(F4+G4)</f>
        <v>6.25E-2</v>
      </c>
      <c r="I4">
        <f t="shared" ref="I4:I45" si="3">G4/(F4+G4)</f>
        <v>0.9375</v>
      </c>
      <c r="J4" t="s">
        <v>15</v>
      </c>
      <c r="K4">
        <f>K3+2</f>
        <v>1858</v>
      </c>
      <c r="L4">
        <v>48.06</v>
      </c>
      <c r="M4">
        <v>36.590000000000003</v>
      </c>
      <c r="N4">
        <f t="shared" ref="N4:N67" si="4">L4/(L4+M4)</f>
        <v>0.56774955699940932</v>
      </c>
      <c r="O4">
        <f t="shared" ref="O4:O67" si="5">M4/(L4+M4)</f>
        <v>0.43225044300059068</v>
      </c>
      <c r="P4">
        <v>83</v>
      </c>
      <c r="Q4">
        <v>113</v>
      </c>
      <c r="R4">
        <f t="shared" ref="R4:R67" si="6">P4/(P4+Q4)</f>
        <v>0.42346938775510207</v>
      </c>
      <c r="S4">
        <f t="shared" ref="S4:S67" si="7">Q4/(P4+Q4)</f>
        <v>0.57653061224489799</v>
      </c>
    </row>
    <row r="5" spans="1:19" x14ac:dyDescent="0.35">
      <c r="A5">
        <f>A4+4</f>
        <v>1864</v>
      </c>
      <c r="B5">
        <v>44.96</v>
      </c>
      <c r="C5">
        <v>55.02</v>
      </c>
      <c r="D5">
        <f t="shared" si="0"/>
        <v>0.44968993798759749</v>
      </c>
      <c r="E5">
        <f t="shared" si="1"/>
        <v>0.55031006201240251</v>
      </c>
      <c r="F5">
        <v>21</v>
      </c>
      <c r="G5">
        <v>212</v>
      </c>
      <c r="H5">
        <f t="shared" si="2"/>
        <v>9.012875536480687E-2</v>
      </c>
      <c r="I5">
        <f t="shared" si="3"/>
        <v>0.90987124463519309</v>
      </c>
      <c r="K5">
        <f t="shared" ref="K5:K68" si="8">K4+2</f>
        <v>1860</v>
      </c>
      <c r="L5">
        <v>39.770000000000003</v>
      </c>
      <c r="M5">
        <v>46.91</v>
      </c>
      <c r="N5">
        <f t="shared" si="4"/>
        <v>0.45881402861098292</v>
      </c>
      <c r="O5">
        <f t="shared" si="5"/>
        <v>0.54118597138901703</v>
      </c>
      <c r="P5">
        <v>43</v>
      </c>
      <c r="Q5">
        <v>108</v>
      </c>
      <c r="R5">
        <f t="shared" si="6"/>
        <v>0.28476821192052981</v>
      </c>
      <c r="S5">
        <f t="shared" si="7"/>
        <v>0.71523178807947019</v>
      </c>
    </row>
    <row r="6" spans="1:19" x14ac:dyDescent="0.35">
      <c r="A6">
        <f t="shared" ref="A6:A22" si="9">A5+4</f>
        <v>1868</v>
      </c>
      <c r="B6">
        <v>47.34</v>
      </c>
      <c r="C6">
        <v>52.66</v>
      </c>
      <c r="D6">
        <f t="shared" si="0"/>
        <v>0.47340000000000004</v>
      </c>
      <c r="E6">
        <f t="shared" si="1"/>
        <v>0.52659999999999996</v>
      </c>
      <c r="F6">
        <v>80</v>
      </c>
      <c r="G6">
        <v>214</v>
      </c>
      <c r="H6">
        <f t="shared" si="2"/>
        <v>0.27210884353741499</v>
      </c>
      <c r="I6">
        <f t="shared" si="3"/>
        <v>0.72789115646258506</v>
      </c>
      <c r="K6">
        <f t="shared" si="8"/>
        <v>1862</v>
      </c>
      <c r="L6">
        <v>45.1</v>
      </c>
      <c r="M6">
        <v>49.7</v>
      </c>
      <c r="N6">
        <f t="shared" si="4"/>
        <v>0.47573839662447254</v>
      </c>
      <c r="O6">
        <f t="shared" si="5"/>
        <v>0.52426160337552741</v>
      </c>
      <c r="P6">
        <v>73</v>
      </c>
      <c r="Q6">
        <v>98</v>
      </c>
      <c r="R6">
        <f t="shared" si="6"/>
        <v>0.42690058479532161</v>
      </c>
      <c r="S6">
        <f t="shared" si="7"/>
        <v>0.57309941520467833</v>
      </c>
    </row>
    <row r="7" spans="1:19" x14ac:dyDescent="0.35">
      <c r="A7">
        <f t="shared" si="9"/>
        <v>1872</v>
      </c>
      <c r="B7">
        <v>43.8</v>
      </c>
      <c r="C7">
        <v>55.6</v>
      </c>
      <c r="D7">
        <f t="shared" si="0"/>
        <v>0.44064386317907439</v>
      </c>
      <c r="E7">
        <f t="shared" si="1"/>
        <v>0.55935613682092555</v>
      </c>
      <c r="F7">
        <v>66</v>
      </c>
      <c r="G7">
        <v>286</v>
      </c>
      <c r="H7">
        <f t="shared" si="2"/>
        <v>0.1875</v>
      </c>
      <c r="I7">
        <f t="shared" si="3"/>
        <v>0.8125</v>
      </c>
      <c r="J7" t="s">
        <v>17</v>
      </c>
      <c r="K7">
        <f t="shared" si="8"/>
        <v>1864</v>
      </c>
      <c r="L7">
        <v>41.8</v>
      </c>
      <c r="M7">
        <v>55</v>
      </c>
      <c r="N7">
        <f t="shared" si="4"/>
        <v>0.43181818181818182</v>
      </c>
      <c r="O7">
        <f t="shared" si="5"/>
        <v>0.56818181818181823</v>
      </c>
      <c r="P7">
        <v>35</v>
      </c>
      <c r="Q7">
        <v>147</v>
      </c>
      <c r="R7">
        <f t="shared" si="6"/>
        <v>0.19230769230769232</v>
      </c>
      <c r="S7">
        <f t="shared" si="7"/>
        <v>0.80769230769230771</v>
      </c>
    </row>
    <row r="8" spans="1:19" x14ac:dyDescent="0.35">
      <c r="A8">
        <f t="shared" si="9"/>
        <v>1876</v>
      </c>
      <c r="B8">
        <v>50.9</v>
      </c>
      <c r="C8">
        <v>47.9</v>
      </c>
      <c r="D8">
        <f t="shared" si="0"/>
        <v>0.51518218623481782</v>
      </c>
      <c r="E8">
        <f t="shared" si="1"/>
        <v>0.48481781376518218</v>
      </c>
      <c r="F8">
        <v>184</v>
      </c>
      <c r="G8">
        <v>185</v>
      </c>
      <c r="H8">
        <f t="shared" si="2"/>
        <v>0.49864498644986449</v>
      </c>
      <c r="I8">
        <f t="shared" si="3"/>
        <v>0.50135501355013545</v>
      </c>
      <c r="J8" t="s">
        <v>16</v>
      </c>
      <c r="K8">
        <f t="shared" si="8"/>
        <v>1866</v>
      </c>
      <c r="L8">
        <v>40.69</v>
      </c>
      <c r="M8">
        <v>55.36</v>
      </c>
      <c r="N8">
        <f t="shared" si="4"/>
        <v>0.42363352420614264</v>
      </c>
      <c r="O8">
        <f t="shared" si="5"/>
        <v>0.57636647579385736</v>
      </c>
      <c r="P8">
        <v>47</v>
      </c>
      <c r="Q8">
        <v>173</v>
      </c>
      <c r="R8">
        <f t="shared" si="6"/>
        <v>0.21363636363636362</v>
      </c>
      <c r="S8">
        <f t="shared" si="7"/>
        <v>0.78636363636363638</v>
      </c>
    </row>
    <row r="9" spans="1:19" x14ac:dyDescent="0.35">
      <c r="A9">
        <f t="shared" si="9"/>
        <v>1880</v>
      </c>
      <c r="B9">
        <v>48.21</v>
      </c>
      <c r="C9">
        <v>48.32</v>
      </c>
      <c r="D9">
        <f t="shared" si="0"/>
        <v>0.49943022894436961</v>
      </c>
      <c r="E9">
        <f t="shared" si="1"/>
        <v>0.50056977105563039</v>
      </c>
      <c r="F9">
        <v>155</v>
      </c>
      <c r="G9">
        <v>214</v>
      </c>
      <c r="H9">
        <f t="shared" si="2"/>
        <v>0.42005420054200543</v>
      </c>
      <c r="I9">
        <f t="shared" si="3"/>
        <v>0.57994579945799463</v>
      </c>
      <c r="K9">
        <f t="shared" si="8"/>
        <v>1868</v>
      </c>
      <c r="L9">
        <v>44.13</v>
      </c>
      <c r="M9">
        <v>51.81</v>
      </c>
      <c r="N9">
        <f t="shared" si="4"/>
        <v>0.45997498436522832</v>
      </c>
      <c r="O9">
        <f t="shared" si="5"/>
        <v>0.54002501563477179</v>
      </c>
      <c r="P9">
        <v>67</v>
      </c>
      <c r="Q9">
        <v>171</v>
      </c>
      <c r="R9">
        <f t="shared" si="6"/>
        <v>0.28151260504201681</v>
      </c>
      <c r="S9">
        <f t="shared" si="7"/>
        <v>0.71848739495798319</v>
      </c>
    </row>
    <row r="10" spans="1:19" x14ac:dyDescent="0.35">
      <c r="A10">
        <f t="shared" si="9"/>
        <v>1884</v>
      </c>
      <c r="B10">
        <v>48.8</v>
      </c>
      <c r="C10">
        <v>48.3</v>
      </c>
      <c r="D10">
        <f t="shared" si="0"/>
        <v>0.5025746652935118</v>
      </c>
      <c r="E10">
        <f t="shared" si="1"/>
        <v>0.49742533470648814</v>
      </c>
      <c r="F10">
        <v>219</v>
      </c>
      <c r="G10">
        <v>182</v>
      </c>
      <c r="H10">
        <f t="shared" si="2"/>
        <v>0.54613466334164584</v>
      </c>
      <c r="I10">
        <f t="shared" si="3"/>
        <v>0.4538653366583541</v>
      </c>
      <c r="K10">
        <f t="shared" si="8"/>
        <v>1870</v>
      </c>
      <c r="L10">
        <v>44.53</v>
      </c>
      <c r="M10">
        <v>49.59</v>
      </c>
      <c r="N10">
        <f t="shared" si="4"/>
        <v>0.47311942201444962</v>
      </c>
      <c r="O10">
        <f t="shared" si="5"/>
        <v>0.52688057798555032</v>
      </c>
      <c r="P10">
        <v>94</v>
      </c>
      <c r="Q10">
        <v>136</v>
      </c>
      <c r="R10">
        <f t="shared" si="6"/>
        <v>0.40869565217391307</v>
      </c>
      <c r="S10">
        <f t="shared" si="7"/>
        <v>0.59130434782608698</v>
      </c>
    </row>
    <row r="11" spans="1:19" x14ac:dyDescent="0.35">
      <c r="A11">
        <f t="shared" si="9"/>
        <v>1888</v>
      </c>
      <c r="B11">
        <v>48.6</v>
      </c>
      <c r="C11">
        <v>47.8</v>
      </c>
      <c r="D11">
        <f t="shared" si="0"/>
        <v>0.50414937759336098</v>
      </c>
      <c r="E11">
        <f t="shared" si="1"/>
        <v>0.49585062240663896</v>
      </c>
      <c r="F11">
        <v>168</v>
      </c>
      <c r="G11">
        <v>233</v>
      </c>
      <c r="H11">
        <f t="shared" si="2"/>
        <v>0.41895261845386533</v>
      </c>
      <c r="I11">
        <f t="shared" si="3"/>
        <v>0.58104738154613467</v>
      </c>
      <c r="K11">
        <f t="shared" si="8"/>
        <v>1872</v>
      </c>
      <c r="L11">
        <v>51.4</v>
      </c>
      <c r="M11">
        <v>40.619999999999997</v>
      </c>
      <c r="N11">
        <f t="shared" si="4"/>
        <v>0.55857422299500115</v>
      </c>
      <c r="O11">
        <f t="shared" si="5"/>
        <v>0.44142577700499891</v>
      </c>
      <c r="P11">
        <v>84</v>
      </c>
      <c r="Q11">
        <v>199</v>
      </c>
      <c r="R11">
        <f t="shared" si="6"/>
        <v>0.29681978798586572</v>
      </c>
      <c r="S11">
        <f t="shared" si="7"/>
        <v>0.70318021201413428</v>
      </c>
    </row>
    <row r="12" spans="1:19" x14ac:dyDescent="0.35">
      <c r="A12">
        <f t="shared" si="9"/>
        <v>1892</v>
      </c>
      <c r="B12">
        <v>46</v>
      </c>
      <c r="C12">
        <v>43</v>
      </c>
      <c r="D12">
        <f t="shared" si="0"/>
        <v>0.5168539325842697</v>
      </c>
      <c r="E12">
        <f t="shared" si="1"/>
        <v>0.48314606741573035</v>
      </c>
      <c r="F12">
        <v>277</v>
      </c>
      <c r="G12">
        <v>145</v>
      </c>
      <c r="H12">
        <f t="shared" si="2"/>
        <v>0.65639810426540279</v>
      </c>
      <c r="I12">
        <f t="shared" si="3"/>
        <v>0.34360189573459715</v>
      </c>
      <c r="K12">
        <f t="shared" si="8"/>
        <v>1874</v>
      </c>
      <c r="L12">
        <v>49.12</v>
      </c>
      <c r="M12">
        <v>44.38</v>
      </c>
      <c r="N12">
        <f t="shared" si="4"/>
        <v>0.52534759358288763</v>
      </c>
      <c r="O12">
        <f t="shared" si="5"/>
        <v>0.47465240641711232</v>
      </c>
      <c r="P12">
        <v>180</v>
      </c>
      <c r="Q12">
        <v>103</v>
      </c>
      <c r="R12">
        <f t="shared" si="6"/>
        <v>0.63604240282685509</v>
      </c>
      <c r="S12">
        <f t="shared" si="7"/>
        <v>0.36395759717314485</v>
      </c>
    </row>
    <row r="13" spans="1:19" x14ac:dyDescent="0.35">
      <c r="A13">
        <f t="shared" si="9"/>
        <v>1896</v>
      </c>
      <c r="B13">
        <v>46.7</v>
      </c>
      <c r="C13">
        <v>51</v>
      </c>
      <c r="D13">
        <f t="shared" si="0"/>
        <v>0.47799385875127942</v>
      </c>
      <c r="E13">
        <f t="shared" si="1"/>
        <v>0.52200614124872058</v>
      </c>
      <c r="F13">
        <v>176</v>
      </c>
      <c r="G13">
        <v>271</v>
      </c>
      <c r="H13">
        <f t="shared" si="2"/>
        <v>0.39373601789709173</v>
      </c>
      <c r="I13">
        <f t="shared" si="3"/>
        <v>0.60626398210290833</v>
      </c>
      <c r="K13">
        <f t="shared" si="8"/>
        <v>1876</v>
      </c>
      <c r="L13">
        <v>51.27</v>
      </c>
      <c r="M13">
        <v>46.47</v>
      </c>
      <c r="N13">
        <f t="shared" si="4"/>
        <v>0.52455494168201344</v>
      </c>
      <c r="O13">
        <f t="shared" si="5"/>
        <v>0.47544505831798645</v>
      </c>
      <c r="P13">
        <v>155</v>
      </c>
      <c r="Q13">
        <v>136</v>
      </c>
      <c r="R13">
        <f t="shared" si="6"/>
        <v>0.53264604810996563</v>
      </c>
      <c r="S13">
        <f t="shared" si="7"/>
        <v>0.46735395189003437</v>
      </c>
    </row>
    <row r="14" spans="1:19" x14ac:dyDescent="0.35">
      <c r="A14">
        <f t="shared" si="9"/>
        <v>1900</v>
      </c>
      <c r="B14">
        <v>45.5</v>
      </c>
      <c r="C14">
        <v>51.6</v>
      </c>
      <c r="D14">
        <f t="shared" si="0"/>
        <v>0.46858908341915556</v>
      </c>
      <c r="E14">
        <f t="shared" si="1"/>
        <v>0.53141091658084449</v>
      </c>
      <c r="F14">
        <v>155</v>
      </c>
      <c r="G14">
        <v>292</v>
      </c>
      <c r="H14">
        <f t="shared" si="2"/>
        <v>0.34675615212527966</v>
      </c>
      <c r="I14">
        <f t="shared" si="3"/>
        <v>0.65324384787472034</v>
      </c>
      <c r="K14">
        <f t="shared" si="8"/>
        <v>1878</v>
      </c>
      <c r="L14">
        <v>44.2</v>
      </c>
      <c r="M14">
        <v>39.56</v>
      </c>
      <c r="N14">
        <f t="shared" si="4"/>
        <v>0.52769818529130852</v>
      </c>
      <c r="O14">
        <f t="shared" si="5"/>
        <v>0.47230181470869148</v>
      </c>
      <c r="P14">
        <v>141</v>
      </c>
      <c r="Q14">
        <v>132</v>
      </c>
      <c r="R14">
        <f t="shared" si="6"/>
        <v>0.51648351648351654</v>
      </c>
      <c r="S14">
        <f t="shared" si="7"/>
        <v>0.48351648351648352</v>
      </c>
    </row>
    <row r="15" spans="1:19" x14ac:dyDescent="0.35">
      <c r="A15">
        <f t="shared" si="9"/>
        <v>1904</v>
      </c>
      <c r="B15">
        <v>37.6</v>
      </c>
      <c r="C15">
        <v>56.4</v>
      </c>
      <c r="D15">
        <f t="shared" si="0"/>
        <v>0.4</v>
      </c>
      <c r="E15">
        <f t="shared" si="1"/>
        <v>0.6</v>
      </c>
      <c r="F15">
        <v>140</v>
      </c>
      <c r="G15">
        <v>336</v>
      </c>
      <c r="H15">
        <f t="shared" si="2"/>
        <v>0.29411764705882354</v>
      </c>
      <c r="I15">
        <f t="shared" si="3"/>
        <v>0.70588235294117652</v>
      </c>
      <c r="J15" t="s">
        <v>18</v>
      </c>
      <c r="K15">
        <f t="shared" si="8"/>
        <v>1880</v>
      </c>
      <c r="L15">
        <v>44.94</v>
      </c>
      <c r="M15">
        <v>47.68</v>
      </c>
      <c r="N15">
        <f t="shared" si="4"/>
        <v>0.48520837832001723</v>
      </c>
      <c r="O15">
        <f t="shared" si="5"/>
        <v>0.51479162167998271</v>
      </c>
      <c r="P15">
        <v>128</v>
      </c>
      <c r="Q15">
        <v>151</v>
      </c>
      <c r="R15">
        <f t="shared" si="6"/>
        <v>0.45878136200716846</v>
      </c>
      <c r="S15">
        <f t="shared" si="7"/>
        <v>0.54121863799283154</v>
      </c>
    </row>
    <row r="16" spans="1:19" x14ac:dyDescent="0.35">
      <c r="A16">
        <f t="shared" si="9"/>
        <v>1908</v>
      </c>
      <c r="B16">
        <v>43.1</v>
      </c>
      <c r="C16">
        <v>51.6</v>
      </c>
      <c r="D16">
        <f t="shared" si="0"/>
        <v>0.45512143611404438</v>
      </c>
      <c r="E16">
        <f t="shared" si="1"/>
        <v>0.54487856388595568</v>
      </c>
      <c r="F16">
        <v>162</v>
      </c>
      <c r="G16">
        <v>321</v>
      </c>
      <c r="H16">
        <f t="shared" si="2"/>
        <v>0.33540372670807456</v>
      </c>
      <c r="I16">
        <f t="shared" si="3"/>
        <v>0.6645962732919255</v>
      </c>
      <c r="K16">
        <f t="shared" si="8"/>
        <v>1882</v>
      </c>
      <c r="L16">
        <v>48.9</v>
      </c>
      <c r="M16">
        <v>41.61</v>
      </c>
      <c r="N16">
        <f t="shared" si="4"/>
        <v>0.54027179317202523</v>
      </c>
      <c r="O16">
        <f t="shared" si="5"/>
        <v>0.45972820682797483</v>
      </c>
      <c r="P16">
        <v>196</v>
      </c>
      <c r="Q16">
        <v>117</v>
      </c>
      <c r="R16">
        <f t="shared" si="6"/>
        <v>0.62619808306709268</v>
      </c>
      <c r="S16">
        <f t="shared" si="7"/>
        <v>0.37380191693290737</v>
      </c>
    </row>
    <row r="17" spans="1:19" x14ac:dyDescent="0.35">
      <c r="A17">
        <f t="shared" si="9"/>
        <v>1912</v>
      </c>
      <c r="B17">
        <v>41.8</v>
      </c>
      <c r="C17">
        <v>23.2</v>
      </c>
      <c r="D17">
        <f t="shared" si="0"/>
        <v>0.64307692307692299</v>
      </c>
      <c r="E17">
        <f t="shared" si="1"/>
        <v>0.3569230769230769</v>
      </c>
      <c r="F17">
        <v>435</v>
      </c>
      <c r="G17">
        <v>8</v>
      </c>
      <c r="H17">
        <f t="shared" si="2"/>
        <v>0.98194130925507905</v>
      </c>
      <c r="I17">
        <f t="shared" si="3"/>
        <v>1.8058690744920992E-2</v>
      </c>
      <c r="J17" t="s">
        <v>19</v>
      </c>
      <c r="K17">
        <f t="shared" si="8"/>
        <v>1884</v>
      </c>
      <c r="L17">
        <v>50.05</v>
      </c>
      <c r="M17">
        <v>47.13</v>
      </c>
      <c r="N17">
        <f t="shared" si="4"/>
        <v>0.51502366742128003</v>
      </c>
      <c r="O17">
        <f t="shared" si="5"/>
        <v>0.48497633257871992</v>
      </c>
      <c r="P17">
        <v>182</v>
      </c>
      <c r="Q17">
        <v>141</v>
      </c>
      <c r="R17">
        <f t="shared" si="6"/>
        <v>0.56346749226006188</v>
      </c>
      <c r="S17">
        <f t="shared" si="7"/>
        <v>0.43653250773993807</v>
      </c>
    </row>
    <row r="18" spans="1:19" x14ac:dyDescent="0.35">
      <c r="A18">
        <f t="shared" si="9"/>
        <v>1916</v>
      </c>
      <c r="B18">
        <v>49.2</v>
      </c>
      <c r="C18">
        <v>46.1</v>
      </c>
      <c r="D18">
        <f t="shared" si="0"/>
        <v>0.5162644281217208</v>
      </c>
      <c r="E18">
        <f t="shared" si="1"/>
        <v>0.48373557187827909</v>
      </c>
      <c r="F18">
        <v>277</v>
      </c>
      <c r="G18">
        <v>254</v>
      </c>
      <c r="H18">
        <f t="shared" si="2"/>
        <v>0.5216572504708098</v>
      </c>
      <c r="I18">
        <f t="shared" si="3"/>
        <v>0.4783427495291902</v>
      </c>
      <c r="K18">
        <f t="shared" si="8"/>
        <v>1886</v>
      </c>
      <c r="L18">
        <v>48.12</v>
      </c>
      <c r="M18">
        <v>44.99</v>
      </c>
      <c r="N18">
        <f t="shared" si="4"/>
        <v>0.51680807646869287</v>
      </c>
      <c r="O18">
        <f t="shared" si="5"/>
        <v>0.48319192353130708</v>
      </c>
      <c r="P18">
        <v>167</v>
      </c>
      <c r="Q18">
        <v>152</v>
      </c>
      <c r="R18">
        <f t="shared" si="6"/>
        <v>0.52351097178683381</v>
      </c>
      <c r="S18">
        <f t="shared" si="7"/>
        <v>0.47648902821316613</v>
      </c>
    </row>
    <row r="19" spans="1:19" x14ac:dyDescent="0.35">
      <c r="A19">
        <f t="shared" si="9"/>
        <v>1920</v>
      </c>
      <c r="B19">
        <v>34.1</v>
      </c>
      <c r="C19">
        <v>60.4</v>
      </c>
      <c r="D19">
        <f t="shared" si="0"/>
        <v>0.36084656084656086</v>
      </c>
      <c r="E19">
        <f t="shared" si="1"/>
        <v>0.63915343915343914</v>
      </c>
      <c r="F19">
        <v>127</v>
      </c>
      <c r="G19">
        <v>404</v>
      </c>
      <c r="H19">
        <f t="shared" si="2"/>
        <v>0.2391713747645951</v>
      </c>
      <c r="I19">
        <f t="shared" si="3"/>
        <v>0.76082862523540484</v>
      </c>
      <c r="K19">
        <f t="shared" si="8"/>
        <v>1888</v>
      </c>
      <c r="L19">
        <v>48.68</v>
      </c>
      <c r="M19">
        <v>47.36</v>
      </c>
      <c r="N19">
        <f t="shared" si="4"/>
        <v>0.50687213660974595</v>
      </c>
      <c r="O19">
        <f t="shared" si="5"/>
        <v>0.49312786339025411</v>
      </c>
      <c r="P19">
        <v>152</v>
      </c>
      <c r="Q19">
        <v>179</v>
      </c>
      <c r="R19">
        <f t="shared" si="6"/>
        <v>0.45921450151057402</v>
      </c>
      <c r="S19">
        <f t="shared" si="7"/>
        <v>0.54078549848942603</v>
      </c>
    </row>
    <row r="20" spans="1:19" x14ac:dyDescent="0.35">
      <c r="A20">
        <f t="shared" si="9"/>
        <v>1924</v>
      </c>
      <c r="B20">
        <v>28.8</v>
      </c>
      <c r="C20">
        <v>54</v>
      </c>
      <c r="D20">
        <f t="shared" si="0"/>
        <v>0.34782608695652178</v>
      </c>
      <c r="E20">
        <f t="shared" si="1"/>
        <v>0.65217391304347827</v>
      </c>
      <c r="F20">
        <v>136</v>
      </c>
      <c r="G20">
        <v>382</v>
      </c>
      <c r="H20">
        <f t="shared" si="2"/>
        <v>0.26254826254826252</v>
      </c>
      <c r="I20">
        <f t="shared" si="3"/>
        <v>0.73745173745173742</v>
      </c>
      <c r="K20">
        <f t="shared" si="8"/>
        <v>1890</v>
      </c>
      <c r="L20">
        <v>50.71</v>
      </c>
      <c r="M20">
        <v>42.8</v>
      </c>
      <c r="N20">
        <f t="shared" si="4"/>
        <v>0.5422949417174634</v>
      </c>
      <c r="O20">
        <f t="shared" si="5"/>
        <v>0.45770505828253666</v>
      </c>
      <c r="P20">
        <v>238</v>
      </c>
      <c r="Q20">
        <v>86</v>
      </c>
      <c r="R20">
        <f t="shared" si="6"/>
        <v>0.73456790123456794</v>
      </c>
      <c r="S20">
        <f t="shared" si="7"/>
        <v>0.26543209876543211</v>
      </c>
    </row>
    <row r="21" spans="1:19" x14ac:dyDescent="0.35">
      <c r="A21">
        <f t="shared" si="9"/>
        <v>1928</v>
      </c>
      <c r="B21">
        <v>40.9</v>
      </c>
      <c r="C21">
        <v>58.1</v>
      </c>
      <c r="D21">
        <f t="shared" si="0"/>
        <v>0.41313131313131313</v>
      </c>
      <c r="E21">
        <f t="shared" si="1"/>
        <v>0.58686868686868687</v>
      </c>
      <c r="F21">
        <v>87</v>
      </c>
      <c r="G21">
        <v>444</v>
      </c>
      <c r="H21">
        <f t="shared" si="2"/>
        <v>0.16384180790960451</v>
      </c>
      <c r="I21">
        <f t="shared" si="3"/>
        <v>0.83615819209039544</v>
      </c>
      <c r="K21">
        <f t="shared" si="8"/>
        <v>1892</v>
      </c>
      <c r="L21">
        <v>47.38</v>
      </c>
      <c r="M21">
        <v>40.82</v>
      </c>
      <c r="N21">
        <f t="shared" si="4"/>
        <v>0.53718820861678007</v>
      </c>
      <c r="O21">
        <f t="shared" si="5"/>
        <v>0.46281179138321993</v>
      </c>
      <c r="P21">
        <v>218</v>
      </c>
      <c r="Q21">
        <v>124</v>
      </c>
      <c r="R21">
        <f t="shared" si="6"/>
        <v>0.63742690058479534</v>
      </c>
      <c r="S21">
        <f t="shared" si="7"/>
        <v>0.36257309941520466</v>
      </c>
    </row>
    <row r="22" spans="1:19" x14ac:dyDescent="0.35">
      <c r="A22">
        <f t="shared" si="9"/>
        <v>1932</v>
      </c>
      <c r="B22">
        <v>57.4</v>
      </c>
      <c r="C22">
        <v>39.6</v>
      </c>
      <c r="D22">
        <f t="shared" si="0"/>
        <v>0.59175257731958764</v>
      </c>
      <c r="E22">
        <f t="shared" si="1"/>
        <v>0.40824742268041236</v>
      </c>
      <c r="F22">
        <v>472</v>
      </c>
      <c r="G22">
        <v>59</v>
      </c>
      <c r="H22">
        <f t="shared" si="2"/>
        <v>0.88888888888888884</v>
      </c>
      <c r="I22">
        <f t="shared" si="3"/>
        <v>0.1111111111111111</v>
      </c>
      <c r="K22">
        <f t="shared" si="8"/>
        <v>1894</v>
      </c>
      <c r="L22">
        <v>37.72</v>
      </c>
      <c r="M22">
        <v>48.27</v>
      </c>
      <c r="N22">
        <f t="shared" si="4"/>
        <v>0.43865565763460862</v>
      </c>
      <c r="O22">
        <f t="shared" si="5"/>
        <v>0.56134434236539132</v>
      </c>
      <c r="P22">
        <v>93</v>
      </c>
      <c r="Q22">
        <v>253</v>
      </c>
      <c r="R22">
        <f t="shared" si="6"/>
        <v>0.26878612716763006</v>
      </c>
      <c r="S22">
        <f t="shared" si="7"/>
        <v>0.73121387283236994</v>
      </c>
    </row>
    <row r="23" spans="1:19" x14ac:dyDescent="0.35">
      <c r="A23">
        <f>A22+4</f>
        <v>1936</v>
      </c>
      <c r="B23">
        <v>60.8</v>
      </c>
      <c r="C23">
        <v>36.5</v>
      </c>
      <c r="D23">
        <f t="shared" si="0"/>
        <v>0.62487153134635143</v>
      </c>
      <c r="E23">
        <f t="shared" si="1"/>
        <v>0.37512846865364852</v>
      </c>
      <c r="F23">
        <v>523</v>
      </c>
      <c r="G23">
        <v>8</v>
      </c>
      <c r="H23">
        <f t="shared" si="2"/>
        <v>0.98493408662900184</v>
      </c>
      <c r="I23">
        <f t="shared" si="3"/>
        <v>1.5065913370998116E-2</v>
      </c>
      <c r="K23">
        <f t="shared" si="8"/>
        <v>1896</v>
      </c>
      <c r="L23">
        <v>40.99</v>
      </c>
      <c r="M23">
        <v>48.77</v>
      </c>
      <c r="N23">
        <f t="shared" si="4"/>
        <v>0.45666221033868093</v>
      </c>
      <c r="O23">
        <f t="shared" si="5"/>
        <v>0.54333778966131907</v>
      </c>
      <c r="P23">
        <v>124</v>
      </c>
      <c r="Q23">
        <v>206</v>
      </c>
      <c r="R23">
        <f t="shared" si="6"/>
        <v>0.37575757575757573</v>
      </c>
      <c r="S23">
        <f t="shared" si="7"/>
        <v>0.62424242424242427</v>
      </c>
    </row>
    <row r="24" spans="1:19" x14ac:dyDescent="0.35">
      <c r="A24">
        <f>A23+4</f>
        <v>1940</v>
      </c>
      <c r="B24">
        <v>54.7</v>
      </c>
      <c r="C24">
        <v>44.8</v>
      </c>
      <c r="D24">
        <f t="shared" si="0"/>
        <v>0.54974874371859295</v>
      </c>
      <c r="E24">
        <f>C24/(B24+C24)</f>
        <v>0.450251256281407</v>
      </c>
      <c r="F24">
        <v>449</v>
      </c>
      <c r="G24">
        <v>82</v>
      </c>
      <c r="H24">
        <f t="shared" si="2"/>
        <v>0.84557438794726936</v>
      </c>
      <c r="I24">
        <f t="shared" si="3"/>
        <v>0.1544256120527307</v>
      </c>
      <c r="K24">
        <f t="shared" si="8"/>
        <v>1898</v>
      </c>
      <c r="L24">
        <v>44.18</v>
      </c>
      <c r="M24">
        <v>48.55</v>
      </c>
      <c r="N24">
        <f t="shared" si="4"/>
        <v>0.47643696754017045</v>
      </c>
      <c r="O24">
        <f t="shared" si="5"/>
        <v>0.5235630324598296</v>
      </c>
      <c r="P24">
        <v>161</v>
      </c>
      <c r="Q24">
        <v>187</v>
      </c>
      <c r="R24">
        <f t="shared" si="6"/>
        <v>0.46264367816091956</v>
      </c>
      <c r="S24">
        <f t="shared" si="7"/>
        <v>0.53735632183908044</v>
      </c>
    </row>
    <row r="25" spans="1:19" x14ac:dyDescent="0.35">
      <c r="A25">
        <f t="shared" ref="A25:A29" si="10">A24+4</f>
        <v>1944</v>
      </c>
      <c r="B25">
        <v>53.4</v>
      </c>
      <c r="C25">
        <v>45.9</v>
      </c>
      <c r="D25">
        <f t="shared" si="0"/>
        <v>0.53776435045317217</v>
      </c>
      <c r="E25">
        <f t="shared" si="1"/>
        <v>0.46223564954682778</v>
      </c>
      <c r="F25">
        <v>432</v>
      </c>
      <c r="G25">
        <v>99</v>
      </c>
      <c r="H25">
        <f t="shared" si="2"/>
        <v>0.81355932203389836</v>
      </c>
      <c r="I25">
        <f t="shared" si="3"/>
        <v>0.1864406779661017</v>
      </c>
      <c r="K25">
        <f t="shared" si="8"/>
        <v>1900</v>
      </c>
      <c r="L25">
        <v>44.45</v>
      </c>
      <c r="M25">
        <v>50.65</v>
      </c>
      <c r="N25">
        <f t="shared" si="4"/>
        <v>0.4674027339642482</v>
      </c>
      <c r="O25">
        <f t="shared" si="5"/>
        <v>0.53259726603575186</v>
      </c>
      <c r="P25">
        <v>151</v>
      </c>
      <c r="Q25">
        <v>200</v>
      </c>
      <c r="R25">
        <f t="shared" si="6"/>
        <v>0.43019943019943019</v>
      </c>
      <c r="S25">
        <f t="shared" si="7"/>
        <v>0.56980056980056981</v>
      </c>
    </row>
    <row r="26" spans="1:19" x14ac:dyDescent="0.35">
      <c r="A26">
        <f t="shared" si="10"/>
        <v>1948</v>
      </c>
      <c r="B26">
        <v>49.55</v>
      </c>
      <c r="C26">
        <v>45.07</v>
      </c>
      <c r="D26">
        <f t="shared" si="0"/>
        <v>0.52367364193616561</v>
      </c>
      <c r="E26">
        <f t="shared" si="1"/>
        <v>0.47632635806383428</v>
      </c>
      <c r="F26">
        <v>303</v>
      </c>
      <c r="G26">
        <v>189</v>
      </c>
      <c r="H26">
        <f t="shared" si="2"/>
        <v>0.61585365853658536</v>
      </c>
      <c r="I26">
        <f t="shared" si="3"/>
        <v>0.38414634146341464</v>
      </c>
      <c r="K26">
        <f t="shared" si="8"/>
        <v>1902</v>
      </c>
      <c r="L26">
        <v>45</v>
      </c>
      <c r="M26">
        <v>49.81</v>
      </c>
      <c r="N26">
        <f t="shared" si="4"/>
        <v>0.47463347748127832</v>
      </c>
      <c r="O26">
        <f t="shared" si="5"/>
        <v>0.52536652251872162</v>
      </c>
      <c r="P26">
        <v>176</v>
      </c>
      <c r="Q26">
        <v>206</v>
      </c>
      <c r="R26">
        <f t="shared" si="6"/>
        <v>0.4607329842931937</v>
      </c>
      <c r="S26">
        <f t="shared" si="7"/>
        <v>0.53926701570680624</v>
      </c>
    </row>
    <row r="27" spans="1:19" x14ac:dyDescent="0.35">
      <c r="A27">
        <f t="shared" si="10"/>
        <v>1952</v>
      </c>
      <c r="B27">
        <v>44.3</v>
      </c>
      <c r="C27">
        <v>55.2</v>
      </c>
      <c r="D27">
        <f t="shared" si="0"/>
        <v>0.44522613065326633</v>
      </c>
      <c r="E27">
        <f t="shared" si="1"/>
        <v>0.55477386934673367</v>
      </c>
      <c r="F27">
        <v>89</v>
      </c>
      <c r="G27">
        <v>442</v>
      </c>
      <c r="H27">
        <f t="shared" si="2"/>
        <v>0.16760828625235405</v>
      </c>
      <c r="I27">
        <f t="shared" si="3"/>
        <v>0.83239171374764598</v>
      </c>
      <c r="K27">
        <f t="shared" si="8"/>
        <v>1904</v>
      </c>
      <c r="L27">
        <v>40.98</v>
      </c>
      <c r="M27">
        <v>54.58</v>
      </c>
      <c r="N27">
        <f t="shared" si="4"/>
        <v>0.42884051904562576</v>
      </c>
      <c r="O27">
        <f t="shared" si="5"/>
        <v>0.57115948095437419</v>
      </c>
      <c r="P27">
        <v>135</v>
      </c>
      <c r="Q27">
        <v>251</v>
      </c>
      <c r="R27">
        <f t="shared" si="6"/>
        <v>0.34974093264248707</v>
      </c>
      <c r="S27">
        <f t="shared" si="7"/>
        <v>0.65025906735751293</v>
      </c>
    </row>
    <row r="28" spans="1:19" x14ac:dyDescent="0.35">
      <c r="A28">
        <f t="shared" si="10"/>
        <v>1956</v>
      </c>
      <c r="B28">
        <v>42</v>
      </c>
      <c r="C28">
        <v>57.4</v>
      </c>
      <c r="D28">
        <f t="shared" si="0"/>
        <v>0.42253521126760563</v>
      </c>
      <c r="E28">
        <f t="shared" si="1"/>
        <v>0.57746478873239437</v>
      </c>
      <c r="F28">
        <v>73</v>
      </c>
      <c r="G28">
        <v>457</v>
      </c>
      <c r="H28">
        <f t="shared" si="2"/>
        <v>0.13773584905660377</v>
      </c>
      <c r="I28">
        <f t="shared" si="3"/>
        <v>0.86226415094339626</v>
      </c>
      <c r="K28">
        <f t="shared" si="8"/>
        <v>1906</v>
      </c>
      <c r="L28">
        <v>43.57</v>
      </c>
      <c r="M28">
        <v>50.99</v>
      </c>
      <c r="N28">
        <f t="shared" si="4"/>
        <v>0.46076565143824028</v>
      </c>
      <c r="O28">
        <f t="shared" si="5"/>
        <v>0.53923434856175978</v>
      </c>
      <c r="P28">
        <v>167</v>
      </c>
      <c r="Q28">
        <v>223</v>
      </c>
      <c r="R28">
        <f t="shared" si="6"/>
        <v>0.42820512820512818</v>
      </c>
      <c r="S28">
        <f t="shared" si="7"/>
        <v>0.57179487179487176</v>
      </c>
    </row>
    <row r="29" spans="1:19" x14ac:dyDescent="0.35">
      <c r="A29">
        <f t="shared" si="10"/>
        <v>1960</v>
      </c>
      <c r="B29">
        <v>49.72</v>
      </c>
      <c r="C29">
        <v>49.55</v>
      </c>
      <c r="D29">
        <f t="shared" si="0"/>
        <v>0.50085625062959604</v>
      </c>
      <c r="E29">
        <f t="shared" si="1"/>
        <v>0.49914374937040396</v>
      </c>
      <c r="F29">
        <v>303</v>
      </c>
      <c r="G29">
        <v>219</v>
      </c>
      <c r="H29">
        <f t="shared" si="2"/>
        <v>0.58045977011494254</v>
      </c>
      <c r="I29">
        <f t="shared" si="3"/>
        <v>0.41954022988505746</v>
      </c>
      <c r="K29">
        <f t="shared" si="8"/>
        <v>1908</v>
      </c>
      <c r="L29">
        <v>45.38</v>
      </c>
      <c r="M29">
        <v>50.05</v>
      </c>
      <c r="N29">
        <f t="shared" si="4"/>
        <v>0.47553180341611651</v>
      </c>
      <c r="O29">
        <f t="shared" si="5"/>
        <v>0.52446819658388344</v>
      </c>
      <c r="P29">
        <v>172</v>
      </c>
      <c r="Q29">
        <v>219</v>
      </c>
      <c r="R29">
        <f t="shared" si="6"/>
        <v>0.43989769820971869</v>
      </c>
      <c r="S29">
        <f t="shared" si="7"/>
        <v>0.56010230179028131</v>
      </c>
    </row>
    <row r="30" spans="1:19" x14ac:dyDescent="0.35">
      <c r="A30">
        <f>A29+4</f>
        <v>1964</v>
      </c>
      <c r="B30">
        <v>61.1</v>
      </c>
      <c r="C30">
        <v>38.5</v>
      </c>
      <c r="D30">
        <f t="shared" si="0"/>
        <v>0.61345381526104426</v>
      </c>
      <c r="E30">
        <f t="shared" si="1"/>
        <v>0.38654618473895586</v>
      </c>
      <c r="F30">
        <v>486</v>
      </c>
      <c r="G30">
        <v>52</v>
      </c>
      <c r="H30">
        <f t="shared" si="2"/>
        <v>0.90334572490706322</v>
      </c>
      <c r="I30">
        <f t="shared" si="3"/>
        <v>9.6654275092936809E-2</v>
      </c>
      <c r="K30">
        <f t="shared" si="8"/>
        <v>1910</v>
      </c>
      <c r="L30">
        <v>46.69</v>
      </c>
      <c r="M30">
        <v>46.53</v>
      </c>
      <c r="N30">
        <f t="shared" si="4"/>
        <v>0.50085818493885426</v>
      </c>
      <c r="O30">
        <f t="shared" si="5"/>
        <v>0.49914181506114569</v>
      </c>
      <c r="P30">
        <v>227</v>
      </c>
      <c r="Q30">
        <v>161</v>
      </c>
      <c r="R30">
        <f t="shared" si="6"/>
        <v>0.58505154639175261</v>
      </c>
      <c r="S30">
        <f t="shared" si="7"/>
        <v>0.41494845360824745</v>
      </c>
    </row>
    <row r="31" spans="1:19" x14ac:dyDescent="0.35">
      <c r="A31">
        <f>A30+4</f>
        <v>1968</v>
      </c>
      <c r="B31">
        <v>42.7</v>
      </c>
      <c r="C31">
        <v>43.4</v>
      </c>
      <c r="D31">
        <f t="shared" si="0"/>
        <v>0.49593495934959358</v>
      </c>
      <c r="E31">
        <f t="shared" si="1"/>
        <v>0.50406504065040647</v>
      </c>
      <c r="F31">
        <v>191</v>
      </c>
      <c r="G31">
        <v>301</v>
      </c>
      <c r="H31">
        <f t="shared" si="2"/>
        <v>0.38821138211382111</v>
      </c>
      <c r="I31">
        <f t="shared" si="3"/>
        <v>0.61178861788617889</v>
      </c>
      <c r="K31">
        <f t="shared" si="8"/>
        <v>1912</v>
      </c>
      <c r="L31">
        <v>43.12</v>
      </c>
      <c r="M31">
        <v>38.78</v>
      </c>
      <c r="N31">
        <f t="shared" si="4"/>
        <v>0.5264957264957264</v>
      </c>
      <c r="O31">
        <f t="shared" si="5"/>
        <v>0.47350427350427349</v>
      </c>
      <c r="P31">
        <v>291</v>
      </c>
      <c r="Q31">
        <v>134</v>
      </c>
      <c r="R31">
        <f t="shared" si="6"/>
        <v>0.68470588235294116</v>
      </c>
      <c r="S31">
        <f t="shared" si="7"/>
        <v>0.31529411764705884</v>
      </c>
    </row>
    <row r="32" spans="1:19" x14ac:dyDescent="0.35">
      <c r="A32">
        <f t="shared" ref="A32:A35" si="11">A31+4</f>
        <v>1972</v>
      </c>
      <c r="B32">
        <v>37.5</v>
      </c>
      <c r="C32">
        <v>60.7</v>
      </c>
      <c r="D32">
        <f t="shared" si="0"/>
        <v>0.38187372708757639</v>
      </c>
      <c r="E32">
        <f t="shared" si="1"/>
        <v>0.61812627291242361</v>
      </c>
      <c r="F32">
        <v>17</v>
      </c>
      <c r="G32">
        <v>520</v>
      </c>
      <c r="H32">
        <f t="shared" si="2"/>
        <v>3.165735567970205E-2</v>
      </c>
      <c r="I32">
        <f t="shared" si="3"/>
        <v>0.96834264432029793</v>
      </c>
      <c r="K32">
        <f t="shared" si="8"/>
        <v>1914</v>
      </c>
      <c r="L32">
        <v>42.43</v>
      </c>
      <c r="M32">
        <v>43.12</v>
      </c>
      <c r="N32">
        <f t="shared" si="4"/>
        <v>0.49596727060198714</v>
      </c>
      <c r="O32">
        <f t="shared" si="5"/>
        <v>0.5040327293980128</v>
      </c>
      <c r="P32">
        <v>230</v>
      </c>
      <c r="Q32">
        <v>196</v>
      </c>
      <c r="R32">
        <f t="shared" si="6"/>
        <v>0.539906103286385</v>
      </c>
      <c r="S32">
        <f t="shared" si="7"/>
        <v>0.460093896713615</v>
      </c>
    </row>
    <row r="33" spans="1:19" x14ac:dyDescent="0.35">
      <c r="A33">
        <f t="shared" si="11"/>
        <v>1976</v>
      </c>
      <c r="B33">
        <v>50.1</v>
      </c>
      <c r="C33">
        <v>48</v>
      </c>
      <c r="D33">
        <f t="shared" si="0"/>
        <v>0.5107033639143731</v>
      </c>
      <c r="E33">
        <f t="shared" si="1"/>
        <v>0.48929663608562696</v>
      </c>
      <c r="F33">
        <v>297</v>
      </c>
      <c r="G33">
        <v>240</v>
      </c>
      <c r="H33">
        <f t="shared" si="2"/>
        <v>0.55307262569832405</v>
      </c>
      <c r="I33">
        <f t="shared" si="3"/>
        <v>0.44692737430167595</v>
      </c>
      <c r="K33">
        <f t="shared" si="8"/>
        <v>1916</v>
      </c>
      <c r="L33">
        <v>45.64</v>
      </c>
      <c r="M33">
        <v>48.09</v>
      </c>
      <c r="N33">
        <f t="shared" si="4"/>
        <v>0.48693054518297235</v>
      </c>
      <c r="O33">
        <f t="shared" si="5"/>
        <v>0.51306945481702759</v>
      </c>
      <c r="P33">
        <v>214</v>
      </c>
      <c r="Q33">
        <v>215</v>
      </c>
      <c r="R33">
        <f t="shared" si="6"/>
        <v>0.49883449883449882</v>
      </c>
      <c r="S33">
        <f t="shared" si="7"/>
        <v>0.50116550116550118</v>
      </c>
    </row>
    <row r="34" spans="1:19" x14ac:dyDescent="0.35">
      <c r="A34">
        <f t="shared" si="11"/>
        <v>1980</v>
      </c>
      <c r="B34">
        <v>41</v>
      </c>
      <c r="C34">
        <v>50.7</v>
      </c>
      <c r="D34">
        <f t="shared" si="0"/>
        <v>0.44711014176663028</v>
      </c>
      <c r="E34">
        <f t="shared" si="1"/>
        <v>0.55288985823336967</v>
      </c>
      <c r="F34">
        <v>49</v>
      </c>
      <c r="G34">
        <v>489</v>
      </c>
      <c r="H34">
        <f t="shared" si="2"/>
        <v>9.1078066914498143E-2</v>
      </c>
      <c r="I34">
        <f t="shared" si="3"/>
        <v>0.90892193308550184</v>
      </c>
      <c r="K34">
        <f t="shared" si="8"/>
        <v>1918</v>
      </c>
      <c r="L34">
        <v>42.95</v>
      </c>
      <c r="M34">
        <v>52.42</v>
      </c>
      <c r="N34">
        <f t="shared" si="4"/>
        <v>0.45035126350005245</v>
      </c>
      <c r="O34">
        <f t="shared" si="5"/>
        <v>0.54964873649994761</v>
      </c>
      <c r="P34">
        <v>192</v>
      </c>
      <c r="Q34">
        <v>240</v>
      </c>
      <c r="R34">
        <f t="shared" si="6"/>
        <v>0.44444444444444442</v>
      </c>
      <c r="S34">
        <f t="shared" si="7"/>
        <v>0.55555555555555558</v>
      </c>
    </row>
    <row r="35" spans="1:19" x14ac:dyDescent="0.35">
      <c r="A35">
        <f t="shared" si="11"/>
        <v>1984</v>
      </c>
      <c r="B35">
        <v>40.6</v>
      </c>
      <c r="C35">
        <v>58.8</v>
      </c>
      <c r="D35">
        <f t="shared" si="0"/>
        <v>0.40845070422535212</v>
      </c>
      <c r="E35">
        <f t="shared" si="1"/>
        <v>0.59154929577464788</v>
      </c>
      <c r="F35">
        <v>13</v>
      </c>
      <c r="G35">
        <v>525</v>
      </c>
      <c r="H35">
        <f t="shared" si="2"/>
        <v>2.4163568773234202E-2</v>
      </c>
      <c r="I35">
        <f t="shared" si="3"/>
        <v>0.97583643122676578</v>
      </c>
      <c r="K35">
        <f t="shared" si="8"/>
        <v>1920</v>
      </c>
      <c r="L35">
        <v>35.380000000000003</v>
      </c>
      <c r="M35">
        <v>58.82</v>
      </c>
      <c r="N35">
        <f t="shared" si="4"/>
        <v>0.37558386411889599</v>
      </c>
      <c r="O35">
        <f t="shared" si="5"/>
        <v>0.62441613588110401</v>
      </c>
      <c r="P35">
        <v>131</v>
      </c>
      <c r="Q35">
        <v>302</v>
      </c>
      <c r="R35">
        <f t="shared" si="6"/>
        <v>0.302540415704388</v>
      </c>
      <c r="S35">
        <f t="shared" si="7"/>
        <v>0.69745958429561206</v>
      </c>
    </row>
    <row r="36" spans="1:19" x14ac:dyDescent="0.35">
      <c r="A36">
        <f>A35+4</f>
        <v>1988</v>
      </c>
      <c r="B36">
        <v>45.7</v>
      </c>
      <c r="C36">
        <v>53.4</v>
      </c>
      <c r="D36">
        <f t="shared" si="0"/>
        <v>0.46115035317860753</v>
      </c>
      <c r="E36">
        <f t="shared" si="1"/>
        <v>0.53884964682139258</v>
      </c>
      <c r="F36">
        <v>111</v>
      </c>
      <c r="G36">
        <v>426</v>
      </c>
      <c r="H36">
        <f t="shared" si="2"/>
        <v>0.20670391061452514</v>
      </c>
      <c r="I36">
        <f t="shared" si="3"/>
        <v>0.79329608938547491</v>
      </c>
      <c r="K36">
        <f t="shared" si="8"/>
        <v>1922</v>
      </c>
      <c r="L36">
        <v>44.64</v>
      </c>
      <c r="M36">
        <v>51.86</v>
      </c>
      <c r="N36">
        <f t="shared" si="4"/>
        <v>0.46259067357512956</v>
      </c>
      <c r="O36">
        <f t="shared" si="5"/>
        <v>0.53740932642487049</v>
      </c>
      <c r="P36">
        <v>207</v>
      </c>
      <c r="Q36">
        <v>225</v>
      </c>
      <c r="R36">
        <f t="shared" si="6"/>
        <v>0.47916666666666669</v>
      </c>
      <c r="S36">
        <f t="shared" si="7"/>
        <v>0.52083333333333337</v>
      </c>
    </row>
    <row r="37" spans="1:19" x14ac:dyDescent="0.35">
      <c r="A37">
        <f>A36+4</f>
        <v>1992</v>
      </c>
      <c r="B37">
        <v>43</v>
      </c>
      <c r="C37">
        <v>37.5</v>
      </c>
      <c r="D37">
        <f t="shared" si="0"/>
        <v>0.53416149068322982</v>
      </c>
      <c r="E37">
        <f t="shared" si="1"/>
        <v>0.46583850931677018</v>
      </c>
      <c r="F37">
        <v>370</v>
      </c>
      <c r="G37">
        <v>168</v>
      </c>
      <c r="H37">
        <f t="shared" si="2"/>
        <v>0.68773234200743494</v>
      </c>
      <c r="I37">
        <f t="shared" si="3"/>
        <v>0.31226765799256506</v>
      </c>
      <c r="K37">
        <f t="shared" si="8"/>
        <v>1924</v>
      </c>
      <c r="L37">
        <v>40.22</v>
      </c>
      <c r="M37">
        <v>56.06</v>
      </c>
      <c r="N37">
        <f t="shared" si="4"/>
        <v>0.41773992521811382</v>
      </c>
      <c r="O37">
        <f t="shared" si="5"/>
        <v>0.58226007478188613</v>
      </c>
      <c r="P37">
        <v>183</v>
      </c>
      <c r="Q37">
        <v>246</v>
      </c>
      <c r="R37">
        <f t="shared" si="6"/>
        <v>0.42657342657342656</v>
      </c>
      <c r="S37">
        <f t="shared" si="7"/>
        <v>0.57342657342657344</v>
      </c>
    </row>
    <row r="38" spans="1:19" x14ac:dyDescent="0.35">
      <c r="A38">
        <f t="shared" ref="A38:A45" si="12">A37+4</f>
        <v>1996</v>
      </c>
      <c r="B38">
        <v>49.2</v>
      </c>
      <c r="C38">
        <v>40.700000000000003</v>
      </c>
      <c r="D38">
        <f t="shared" si="0"/>
        <v>0.54727474972191326</v>
      </c>
      <c r="E38">
        <f t="shared" si="1"/>
        <v>0.45272525027808674</v>
      </c>
      <c r="F38">
        <v>379</v>
      </c>
      <c r="G38">
        <v>159</v>
      </c>
      <c r="H38">
        <f t="shared" si="2"/>
        <v>0.70446096654275092</v>
      </c>
      <c r="I38">
        <f t="shared" si="3"/>
        <v>0.29553903345724908</v>
      </c>
      <c r="K38">
        <f t="shared" si="8"/>
        <v>1926</v>
      </c>
      <c r="L38">
        <v>40.090000000000003</v>
      </c>
      <c r="M38">
        <v>57.11</v>
      </c>
      <c r="N38">
        <f t="shared" si="4"/>
        <v>0.41244855967078192</v>
      </c>
      <c r="O38">
        <f t="shared" si="5"/>
        <v>0.58755144032921813</v>
      </c>
      <c r="P38">
        <v>194</v>
      </c>
      <c r="Q38">
        <v>238</v>
      </c>
      <c r="R38">
        <f t="shared" si="6"/>
        <v>0.44907407407407407</v>
      </c>
      <c r="S38">
        <f t="shared" si="7"/>
        <v>0.55092592592592593</v>
      </c>
    </row>
    <row r="39" spans="1:19" x14ac:dyDescent="0.35">
      <c r="A39">
        <f t="shared" si="12"/>
        <v>2000</v>
      </c>
      <c r="B39">
        <v>48.4</v>
      </c>
      <c r="C39">
        <v>47.9</v>
      </c>
      <c r="D39">
        <f t="shared" si="0"/>
        <v>0.50259605399792318</v>
      </c>
      <c r="E39">
        <f t="shared" si="1"/>
        <v>0.49740394600207682</v>
      </c>
      <c r="F39">
        <v>266</v>
      </c>
      <c r="G39">
        <v>271</v>
      </c>
      <c r="H39">
        <f t="shared" si="2"/>
        <v>0.49534450651769085</v>
      </c>
      <c r="I39">
        <f t="shared" si="3"/>
        <v>0.50465549348230909</v>
      </c>
      <c r="K39">
        <f t="shared" si="8"/>
        <v>1928</v>
      </c>
      <c r="L39">
        <v>41.97</v>
      </c>
      <c r="M39">
        <v>56.73</v>
      </c>
      <c r="N39">
        <f t="shared" si="4"/>
        <v>0.42522796352583592</v>
      </c>
      <c r="O39">
        <f t="shared" si="5"/>
        <v>0.57477203647416419</v>
      </c>
      <c r="P39">
        <v>164</v>
      </c>
      <c r="Q39">
        <v>270</v>
      </c>
      <c r="R39">
        <f t="shared" si="6"/>
        <v>0.37788018433179721</v>
      </c>
      <c r="S39">
        <f t="shared" si="7"/>
        <v>0.62211981566820274</v>
      </c>
    </row>
    <row r="40" spans="1:19" x14ac:dyDescent="0.35">
      <c r="A40">
        <f t="shared" si="12"/>
        <v>2004</v>
      </c>
      <c r="B40">
        <v>48.3</v>
      </c>
      <c r="C40">
        <v>50.7</v>
      </c>
      <c r="D40">
        <f t="shared" si="0"/>
        <v>0.48787878787878786</v>
      </c>
      <c r="E40">
        <f t="shared" si="1"/>
        <v>0.5121212121212122</v>
      </c>
      <c r="F40">
        <v>251</v>
      </c>
      <c r="G40">
        <v>286</v>
      </c>
      <c r="H40">
        <f t="shared" si="2"/>
        <v>0.46741154562383613</v>
      </c>
      <c r="I40">
        <f t="shared" si="3"/>
        <v>0.53258845437616387</v>
      </c>
      <c r="K40">
        <f t="shared" si="8"/>
        <v>1930</v>
      </c>
      <c r="L40">
        <v>44.5</v>
      </c>
      <c r="M40">
        <v>53.04</v>
      </c>
      <c r="N40">
        <f t="shared" si="4"/>
        <v>0.45622308796391225</v>
      </c>
      <c r="O40">
        <f t="shared" si="5"/>
        <v>0.5437769120360878</v>
      </c>
      <c r="P40">
        <v>216</v>
      </c>
      <c r="Q40">
        <v>218</v>
      </c>
      <c r="R40">
        <f t="shared" si="6"/>
        <v>0.49769585253456222</v>
      </c>
      <c r="S40">
        <f t="shared" si="7"/>
        <v>0.50230414746543783</v>
      </c>
    </row>
    <row r="41" spans="1:19" x14ac:dyDescent="0.35">
      <c r="A41">
        <f t="shared" si="12"/>
        <v>2008</v>
      </c>
      <c r="B41">
        <v>52.9</v>
      </c>
      <c r="C41">
        <v>45.7</v>
      </c>
      <c r="D41">
        <f t="shared" si="0"/>
        <v>0.5365111561866126</v>
      </c>
      <c r="E41">
        <f t="shared" si="1"/>
        <v>0.46348884381338745</v>
      </c>
      <c r="F41">
        <v>365</v>
      </c>
      <c r="G41">
        <v>173</v>
      </c>
      <c r="H41">
        <f t="shared" si="2"/>
        <v>0.67843866171003719</v>
      </c>
      <c r="I41">
        <f t="shared" si="3"/>
        <v>0.32156133828996281</v>
      </c>
      <c r="K41">
        <f t="shared" si="8"/>
        <v>1932</v>
      </c>
      <c r="L41">
        <v>54.48</v>
      </c>
      <c r="M41">
        <v>42.08</v>
      </c>
      <c r="N41">
        <f t="shared" si="4"/>
        <v>0.56420878210439096</v>
      </c>
      <c r="O41">
        <f t="shared" si="5"/>
        <v>0.43579121789560893</v>
      </c>
      <c r="P41">
        <v>313</v>
      </c>
      <c r="Q41">
        <v>117</v>
      </c>
      <c r="R41">
        <f t="shared" si="6"/>
        <v>0.72790697674418603</v>
      </c>
      <c r="S41">
        <f t="shared" si="7"/>
        <v>0.27209302325581397</v>
      </c>
    </row>
    <row r="42" spans="1:19" x14ac:dyDescent="0.35">
      <c r="A42">
        <f t="shared" si="12"/>
        <v>2012</v>
      </c>
      <c r="B42">
        <v>51.1</v>
      </c>
      <c r="C42">
        <v>47.2</v>
      </c>
      <c r="D42">
        <f t="shared" si="0"/>
        <v>0.51983723296032547</v>
      </c>
      <c r="E42">
        <f t="shared" si="1"/>
        <v>0.48016276703967442</v>
      </c>
      <c r="F42">
        <v>332</v>
      </c>
      <c r="G42">
        <v>206</v>
      </c>
      <c r="H42">
        <f t="shared" si="2"/>
        <v>0.61710037174721188</v>
      </c>
      <c r="I42">
        <f t="shared" si="3"/>
        <v>0.38289962825278812</v>
      </c>
      <c r="K42">
        <f t="shared" si="8"/>
        <v>1934</v>
      </c>
      <c r="L42">
        <v>53.92</v>
      </c>
      <c r="M42">
        <v>41.29</v>
      </c>
      <c r="N42">
        <f t="shared" si="4"/>
        <v>0.56632706648461295</v>
      </c>
      <c r="O42">
        <f t="shared" si="5"/>
        <v>0.43367293351538699</v>
      </c>
      <c r="P42">
        <v>322</v>
      </c>
      <c r="Q42">
        <v>103</v>
      </c>
      <c r="R42">
        <f t="shared" si="6"/>
        <v>0.75764705882352945</v>
      </c>
      <c r="S42">
        <f t="shared" si="7"/>
        <v>0.24235294117647058</v>
      </c>
    </row>
    <row r="43" spans="1:19" x14ac:dyDescent="0.35">
      <c r="A43">
        <f t="shared" si="12"/>
        <v>2016</v>
      </c>
      <c r="B43">
        <v>48.2</v>
      </c>
      <c r="C43">
        <v>46.1</v>
      </c>
      <c r="D43">
        <f t="shared" si="0"/>
        <v>0.5111346765641569</v>
      </c>
      <c r="E43">
        <f t="shared" si="1"/>
        <v>0.48886532343584299</v>
      </c>
      <c r="F43">
        <v>227</v>
      </c>
      <c r="G43">
        <v>304</v>
      </c>
      <c r="H43">
        <f t="shared" si="2"/>
        <v>0.42749529190207158</v>
      </c>
      <c r="I43">
        <f t="shared" si="3"/>
        <v>0.57250470809792842</v>
      </c>
      <c r="K43">
        <f t="shared" si="8"/>
        <v>1936</v>
      </c>
      <c r="L43">
        <v>55.93</v>
      </c>
      <c r="M43">
        <v>39.67</v>
      </c>
      <c r="N43">
        <f t="shared" si="4"/>
        <v>0.5850418410041841</v>
      </c>
      <c r="O43">
        <f t="shared" si="5"/>
        <v>0.41495815899581595</v>
      </c>
      <c r="P43">
        <v>334</v>
      </c>
      <c r="Q43">
        <v>88</v>
      </c>
      <c r="R43">
        <f t="shared" si="6"/>
        <v>0.79146919431279616</v>
      </c>
      <c r="S43">
        <f t="shared" si="7"/>
        <v>0.20853080568720378</v>
      </c>
    </row>
    <row r="44" spans="1:19" x14ac:dyDescent="0.35">
      <c r="A44">
        <f t="shared" si="12"/>
        <v>2020</v>
      </c>
      <c r="B44">
        <v>51.3</v>
      </c>
      <c r="C44">
        <v>46.8</v>
      </c>
      <c r="D44">
        <f t="shared" si="0"/>
        <v>0.52293577981651373</v>
      </c>
      <c r="E44">
        <f t="shared" si="1"/>
        <v>0.47706422018348621</v>
      </c>
      <c r="F44">
        <v>306</v>
      </c>
      <c r="G44">
        <v>232</v>
      </c>
      <c r="H44">
        <f t="shared" si="2"/>
        <v>0.56877323420074355</v>
      </c>
      <c r="I44">
        <f t="shared" si="3"/>
        <v>0.43122676579925651</v>
      </c>
      <c r="K44">
        <f t="shared" si="8"/>
        <v>1938</v>
      </c>
      <c r="L44">
        <v>48.7</v>
      </c>
      <c r="M44">
        <v>47.5</v>
      </c>
      <c r="N44">
        <f t="shared" si="4"/>
        <v>0.50623700623700629</v>
      </c>
      <c r="O44">
        <f t="shared" si="5"/>
        <v>0.49376299376299376</v>
      </c>
      <c r="P44">
        <v>262</v>
      </c>
      <c r="Q44">
        <v>169</v>
      </c>
      <c r="R44">
        <f t="shared" si="6"/>
        <v>0.60788863109048719</v>
      </c>
      <c r="S44">
        <f t="shared" si="7"/>
        <v>0.39211136890951276</v>
      </c>
    </row>
    <row r="45" spans="1:19" x14ac:dyDescent="0.35">
      <c r="A45">
        <f t="shared" si="12"/>
        <v>2024</v>
      </c>
      <c r="B45">
        <v>48.3</v>
      </c>
      <c r="C45">
        <v>49.8</v>
      </c>
      <c r="D45">
        <f t="shared" si="0"/>
        <v>0.49235474006116209</v>
      </c>
      <c r="E45">
        <f t="shared" si="1"/>
        <v>0.50764525993883791</v>
      </c>
      <c r="F45">
        <v>226</v>
      </c>
      <c r="G45">
        <v>312</v>
      </c>
      <c r="H45">
        <f t="shared" si="2"/>
        <v>0.4200743494423792</v>
      </c>
      <c r="I45">
        <f t="shared" si="3"/>
        <v>0.5799256505576208</v>
      </c>
      <c r="K45">
        <f t="shared" si="8"/>
        <v>1940</v>
      </c>
      <c r="L45">
        <v>51.4</v>
      </c>
      <c r="M45">
        <v>45.6</v>
      </c>
      <c r="N45">
        <f t="shared" si="4"/>
        <v>0.52989690721649485</v>
      </c>
      <c r="O45">
        <f t="shared" si="5"/>
        <v>0.47010309278350515</v>
      </c>
      <c r="P45">
        <v>267</v>
      </c>
      <c r="Q45">
        <v>162</v>
      </c>
      <c r="R45">
        <f t="shared" si="6"/>
        <v>0.6223776223776224</v>
      </c>
      <c r="S45">
        <f t="shared" si="7"/>
        <v>0.3776223776223776</v>
      </c>
    </row>
    <row r="46" spans="1:19" x14ac:dyDescent="0.35">
      <c r="K46">
        <f t="shared" si="8"/>
        <v>1942</v>
      </c>
      <c r="L46">
        <v>47</v>
      </c>
      <c r="M46">
        <v>50.8</v>
      </c>
      <c r="N46">
        <f t="shared" si="4"/>
        <v>0.48057259713701433</v>
      </c>
      <c r="O46">
        <f t="shared" si="5"/>
        <v>0.51942740286298572</v>
      </c>
      <c r="P46">
        <v>222</v>
      </c>
      <c r="Q46">
        <v>209</v>
      </c>
      <c r="R46">
        <f t="shared" si="6"/>
        <v>0.51508120649651967</v>
      </c>
      <c r="S46">
        <f t="shared" si="7"/>
        <v>0.48491879350348027</v>
      </c>
    </row>
    <row r="47" spans="1:19" x14ac:dyDescent="0.35">
      <c r="K47">
        <f t="shared" si="8"/>
        <v>1944</v>
      </c>
      <c r="L47">
        <v>51.8</v>
      </c>
      <c r="M47">
        <v>47.1</v>
      </c>
      <c r="N47">
        <f t="shared" si="4"/>
        <v>0.52376137512639021</v>
      </c>
      <c r="O47">
        <f t="shared" si="5"/>
        <v>0.47623862487360968</v>
      </c>
      <c r="P47">
        <v>244</v>
      </c>
      <c r="Q47">
        <v>189</v>
      </c>
      <c r="R47">
        <f t="shared" si="6"/>
        <v>0.56351039260969982</v>
      </c>
      <c r="S47">
        <f t="shared" si="7"/>
        <v>0.43648960739030024</v>
      </c>
    </row>
    <row r="48" spans="1:19" x14ac:dyDescent="0.35">
      <c r="K48">
        <f t="shared" si="8"/>
        <v>1946</v>
      </c>
      <c r="L48">
        <v>45</v>
      </c>
      <c r="M48">
        <v>53.5</v>
      </c>
      <c r="N48">
        <f t="shared" si="4"/>
        <v>0.45685279187817257</v>
      </c>
      <c r="O48">
        <f t="shared" si="5"/>
        <v>0.54314720812182737</v>
      </c>
      <c r="P48">
        <v>188</v>
      </c>
      <c r="Q48">
        <v>246</v>
      </c>
      <c r="R48">
        <f t="shared" si="6"/>
        <v>0.43317972350230416</v>
      </c>
      <c r="S48">
        <f t="shared" si="7"/>
        <v>0.56682027649769584</v>
      </c>
    </row>
    <row r="49" spans="11:19" x14ac:dyDescent="0.35">
      <c r="K49">
        <f t="shared" si="8"/>
        <v>1948</v>
      </c>
      <c r="L49">
        <v>52.6</v>
      </c>
      <c r="M49">
        <v>45.4</v>
      </c>
      <c r="N49">
        <f t="shared" si="4"/>
        <v>0.53673469387755102</v>
      </c>
      <c r="O49">
        <f t="shared" si="5"/>
        <v>0.46326530612244898</v>
      </c>
      <c r="P49">
        <v>263</v>
      </c>
      <c r="Q49">
        <v>171</v>
      </c>
      <c r="R49">
        <f t="shared" si="6"/>
        <v>0.60599078341013823</v>
      </c>
      <c r="S49">
        <f t="shared" si="7"/>
        <v>0.39400921658986177</v>
      </c>
    </row>
    <row r="50" spans="11:19" x14ac:dyDescent="0.35">
      <c r="K50">
        <f t="shared" si="8"/>
        <v>1950</v>
      </c>
      <c r="L50">
        <v>49.6</v>
      </c>
      <c r="M50">
        <v>48.9</v>
      </c>
      <c r="N50">
        <f t="shared" si="4"/>
        <v>0.50355329949238581</v>
      </c>
      <c r="O50">
        <f t="shared" si="5"/>
        <v>0.49644670050761419</v>
      </c>
      <c r="P50">
        <v>235</v>
      </c>
      <c r="Q50">
        <v>199</v>
      </c>
      <c r="R50">
        <f t="shared" si="6"/>
        <v>0.54147465437788023</v>
      </c>
      <c r="S50">
        <f t="shared" si="7"/>
        <v>0.45852534562211983</v>
      </c>
    </row>
    <row r="51" spans="11:19" x14ac:dyDescent="0.35">
      <c r="K51">
        <f t="shared" si="8"/>
        <v>1952</v>
      </c>
      <c r="L51">
        <v>49.8</v>
      </c>
      <c r="M51">
        <v>49.3</v>
      </c>
      <c r="N51">
        <f t="shared" si="4"/>
        <v>0.50252270433905144</v>
      </c>
      <c r="O51">
        <f t="shared" si="5"/>
        <v>0.49747729566094856</v>
      </c>
      <c r="P51">
        <v>213</v>
      </c>
      <c r="Q51">
        <v>221</v>
      </c>
      <c r="R51">
        <f t="shared" si="6"/>
        <v>0.49078341013824883</v>
      </c>
      <c r="S51">
        <f t="shared" si="7"/>
        <v>0.50921658986175111</v>
      </c>
    </row>
    <row r="52" spans="11:19" x14ac:dyDescent="0.35">
      <c r="K52">
        <f t="shared" si="8"/>
        <v>1954</v>
      </c>
      <c r="L52">
        <v>52.5</v>
      </c>
      <c r="M52">
        <v>47</v>
      </c>
      <c r="N52">
        <f t="shared" si="4"/>
        <v>0.52763819095477382</v>
      </c>
      <c r="O52">
        <f t="shared" si="5"/>
        <v>0.47236180904522612</v>
      </c>
      <c r="P52">
        <v>232</v>
      </c>
      <c r="Q52">
        <v>203</v>
      </c>
      <c r="R52">
        <f t="shared" si="6"/>
        <v>0.53333333333333333</v>
      </c>
      <c r="S52">
        <f t="shared" si="7"/>
        <v>0.46666666666666667</v>
      </c>
    </row>
    <row r="53" spans="11:19" x14ac:dyDescent="0.35">
      <c r="K53">
        <f t="shared" si="8"/>
        <v>1956</v>
      </c>
      <c r="L53">
        <v>51.2</v>
      </c>
      <c r="M53">
        <v>48.7</v>
      </c>
      <c r="N53">
        <f t="shared" si="4"/>
        <v>0.51251251251251251</v>
      </c>
      <c r="O53">
        <f t="shared" si="5"/>
        <v>0.48748748748748749</v>
      </c>
      <c r="P53">
        <v>234</v>
      </c>
      <c r="Q53">
        <v>201</v>
      </c>
      <c r="R53">
        <f t="shared" si="6"/>
        <v>0.53793103448275859</v>
      </c>
      <c r="S53">
        <f t="shared" si="7"/>
        <v>0.46206896551724136</v>
      </c>
    </row>
    <row r="54" spans="11:19" x14ac:dyDescent="0.35">
      <c r="K54">
        <f t="shared" si="8"/>
        <v>1958</v>
      </c>
      <c r="L54">
        <v>56</v>
      </c>
      <c r="M54">
        <v>43.6</v>
      </c>
      <c r="N54">
        <f t="shared" si="4"/>
        <v>0.56224899598393574</v>
      </c>
      <c r="O54">
        <f t="shared" si="5"/>
        <v>0.43775100401606432</v>
      </c>
      <c r="P54">
        <v>283</v>
      </c>
      <c r="Q54">
        <v>153</v>
      </c>
      <c r="R54">
        <f t="shared" si="6"/>
        <v>0.6490825688073395</v>
      </c>
      <c r="S54">
        <f t="shared" si="7"/>
        <v>0.35091743119266056</v>
      </c>
    </row>
    <row r="55" spans="11:19" x14ac:dyDescent="0.35">
      <c r="K55">
        <f t="shared" si="8"/>
        <v>1960</v>
      </c>
      <c r="L55">
        <v>54.8</v>
      </c>
      <c r="M55">
        <v>44.8</v>
      </c>
      <c r="N55">
        <f t="shared" si="4"/>
        <v>0.55020080321285136</v>
      </c>
      <c r="O55">
        <f t="shared" si="5"/>
        <v>0.44979919678714858</v>
      </c>
      <c r="P55">
        <v>262</v>
      </c>
      <c r="Q55">
        <v>175</v>
      </c>
      <c r="R55">
        <f t="shared" si="6"/>
        <v>0.5995423340961098</v>
      </c>
      <c r="S55">
        <f t="shared" si="7"/>
        <v>0.40045766590389015</v>
      </c>
    </row>
    <row r="56" spans="11:19" x14ac:dyDescent="0.35">
      <c r="K56">
        <f t="shared" si="8"/>
        <v>1962</v>
      </c>
      <c r="L56">
        <v>52.4</v>
      </c>
      <c r="M56">
        <v>47.1</v>
      </c>
      <c r="N56">
        <f t="shared" si="4"/>
        <v>0.52663316582914577</v>
      </c>
      <c r="O56">
        <f t="shared" si="5"/>
        <v>0.47336683417085429</v>
      </c>
      <c r="P56">
        <v>259</v>
      </c>
      <c r="Q56">
        <v>176</v>
      </c>
      <c r="R56">
        <f t="shared" si="6"/>
        <v>0.59540229885057472</v>
      </c>
      <c r="S56">
        <f t="shared" si="7"/>
        <v>0.40459770114942528</v>
      </c>
    </row>
    <row r="57" spans="11:19" x14ac:dyDescent="0.35">
      <c r="K57">
        <f t="shared" si="8"/>
        <v>1964</v>
      </c>
      <c r="L57">
        <v>57.1</v>
      </c>
      <c r="M57">
        <v>42.4</v>
      </c>
      <c r="N57">
        <f t="shared" si="4"/>
        <v>0.57386934673366841</v>
      </c>
      <c r="O57">
        <f t="shared" si="5"/>
        <v>0.42613065326633165</v>
      </c>
      <c r="P57">
        <v>295</v>
      </c>
      <c r="Q57">
        <v>140</v>
      </c>
      <c r="R57">
        <f t="shared" si="6"/>
        <v>0.67816091954022983</v>
      </c>
      <c r="S57">
        <f t="shared" si="7"/>
        <v>0.32183908045977011</v>
      </c>
    </row>
    <row r="58" spans="11:19" x14ac:dyDescent="0.35">
      <c r="K58">
        <f t="shared" si="8"/>
        <v>1966</v>
      </c>
      <c r="L58">
        <v>50.9</v>
      </c>
      <c r="M58">
        <v>48.2</v>
      </c>
      <c r="N58">
        <f t="shared" si="4"/>
        <v>0.51362260343087796</v>
      </c>
      <c r="O58">
        <f t="shared" si="5"/>
        <v>0.48637739656912216</v>
      </c>
      <c r="P58">
        <v>248</v>
      </c>
      <c r="Q58">
        <v>187</v>
      </c>
      <c r="R58">
        <f t="shared" si="6"/>
        <v>0.57011494252873562</v>
      </c>
      <c r="S58">
        <f t="shared" si="7"/>
        <v>0.42988505747126438</v>
      </c>
    </row>
    <row r="59" spans="11:19" x14ac:dyDescent="0.35">
      <c r="K59">
        <f t="shared" si="8"/>
        <v>1968</v>
      </c>
      <c r="L59">
        <v>50.2</v>
      </c>
      <c r="M59">
        <v>48.5</v>
      </c>
      <c r="N59">
        <f t="shared" si="4"/>
        <v>0.50861195542046611</v>
      </c>
      <c r="O59">
        <f t="shared" si="5"/>
        <v>0.49138804457953394</v>
      </c>
      <c r="P59">
        <v>243</v>
      </c>
      <c r="Q59">
        <v>192</v>
      </c>
      <c r="R59">
        <f t="shared" si="6"/>
        <v>0.55862068965517242</v>
      </c>
      <c r="S59">
        <f t="shared" si="7"/>
        <v>0.44137931034482758</v>
      </c>
    </row>
    <row r="60" spans="11:19" x14ac:dyDescent="0.35">
      <c r="K60">
        <f t="shared" si="8"/>
        <v>1970</v>
      </c>
      <c r="L60">
        <v>53.6</v>
      </c>
      <c r="M60">
        <v>44.9</v>
      </c>
      <c r="N60">
        <f t="shared" si="4"/>
        <v>0.54416243654822338</v>
      </c>
      <c r="O60">
        <f t="shared" si="5"/>
        <v>0.45583756345177662</v>
      </c>
      <c r="P60">
        <v>255</v>
      </c>
      <c r="Q60">
        <v>180</v>
      </c>
      <c r="R60">
        <f t="shared" si="6"/>
        <v>0.58620689655172409</v>
      </c>
      <c r="S60">
        <f t="shared" si="7"/>
        <v>0.41379310344827586</v>
      </c>
    </row>
    <row r="61" spans="11:19" x14ac:dyDescent="0.35">
      <c r="K61">
        <f t="shared" si="8"/>
        <v>1972</v>
      </c>
      <c r="L61">
        <v>51.7</v>
      </c>
      <c r="M61">
        <v>46.4</v>
      </c>
      <c r="N61">
        <f t="shared" si="4"/>
        <v>0.52701325178389402</v>
      </c>
      <c r="O61">
        <f t="shared" si="5"/>
        <v>0.47298674821610603</v>
      </c>
      <c r="P61">
        <v>242</v>
      </c>
      <c r="Q61">
        <v>192</v>
      </c>
      <c r="R61">
        <f t="shared" si="6"/>
        <v>0.55760368663594473</v>
      </c>
      <c r="S61">
        <f t="shared" si="7"/>
        <v>0.44239631336405533</v>
      </c>
    </row>
    <row r="62" spans="11:19" x14ac:dyDescent="0.35">
      <c r="K62">
        <f t="shared" si="8"/>
        <v>1974</v>
      </c>
      <c r="L62">
        <v>57.5</v>
      </c>
      <c r="M62">
        <v>40.700000000000003</v>
      </c>
      <c r="N62">
        <f t="shared" si="4"/>
        <v>0.58553971486761713</v>
      </c>
      <c r="O62">
        <f t="shared" si="5"/>
        <v>0.41446028513238292</v>
      </c>
      <c r="P62">
        <v>291</v>
      </c>
      <c r="Q62">
        <v>144</v>
      </c>
      <c r="R62">
        <f t="shared" si="6"/>
        <v>0.66896551724137931</v>
      </c>
      <c r="S62">
        <f t="shared" si="7"/>
        <v>0.33103448275862069</v>
      </c>
    </row>
    <row r="63" spans="11:19" x14ac:dyDescent="0.35">
      <c r="K63">
        <f t="shared" si="8"/>
        <v>1976</v>
      </c>
      <c r="L63">
        <v>55.9</v>
      </c>
      <c r="M63">
        <v>42.3</v>
      </c>
      <c r="N63">
        <f t="shared" si="4"/>
        <v>0.56924643584521395</v>
      </c>
      <c r="O63">
        <f t="shared" si="5"/>
        <v>0.43075356415478616</v>
      </c>
      <c r="P63">
        <v>292</v>
      </c>
      <c r="Q63">
        <v>143</v>
      </c>
      <c r="R63">
        <f t="shared" si="6"/>
        <v>0.671264367816092</v>
      </c>
      <c r="S63">
        <f t="shared" si="7"/>
        <v>0.32873563218390806</v>
      </c>
    </row>
    <row r="64" spans="11:19" x14ac:dyDescent="0.35">
      <c r="K64">
        <f t="shared" si="8"/>
        <v>1978</v>
      </c>
      <c r="L64">
        <v>53.7</v>
      </c>
      <c r="M64">
        <v>44.8</v>
      </c>
      <c r="N64">
        <f t="shared" si="4"/>
        <v>0.54517766497461928</v>
      </c>
      <c r="O64">
        <f t="shared" si="5"/>
        <v>0.45482233502538066</v>
      </c>
      <c r="P64">
        <v>277</v>
      </c>
      <c r="Q64">
        <v>157</v>
      </c>
      <c r="R64">
        <f t="shared" si="6"/>
        <v>0.63824884792626724</v>
      </c>
      <c r="S64">
        <f t="shared" si="7"/>
        <v>0.36175115207373271</v>
      </c>
    </row>
    <row r="65" spans="11:19" x14ac:dyDescent="0.35">
      <c r="K65">
        <f t="shared" si="8"/>
        <v>1980</v>
      </c>
      <c r="L65">
        <v>50.5</v>
      </c>
      <c r="M65">
        <v>47.8</v>
      </c>
      <c r="N65">
        <f t="shared" si="4"/>
        <v>0.51373346897253303</v>
      </c>
      <c r="O65">
        <f t="shared" si="5"/>
        <v>0.48626653102746692</v>
      </c>
      <c r="P65">
        <v>242</v>
      </c>
      <c r="Q65">
        <v>191</v>
      </c>
      <c r="R65">
        <f t="shared" si="6"/>
        <v>0.55889145496535797</v>
      </c>
      <c r="S65">
        <f t="shared" si="7"/>
        <v>0.44110854503464203</v>
      </c>
    </row>
    <row r="66" spans="11:19" x14ac:dyDescent="0.35">
      <c r="K66">
        <f t="shared" si="8"/>
        <v>1982</v>
      </c>
      <c r="L66">
        <v>55.2</v>
      </c>
      <c r="M66">
        <v>43.4</v>
      </c>
      <c r="N66">
        <f t="shared" si="4"/>
        <v>0.55983772819472621</v>
      </c>
      <c r="O66">
        <f t="shared" si="5"/>
        <v>0.44016227180527384</v>
      </c>
      <c r="P66">
        <v>269</v>
      </c>
      <c r="Q66">
        <v>165</v>
      </c>
      <c r="R66">
        <f t="shared" si="6"/>
        <v>0.61981566820276501</v>
      </c>
      <c r="S66">
        <f t="shared" si="7"/>
        <v>0.38018433179723504</v>
      </c>
    </row>
    <row r="67" spans="11:19" x14ac:dyDescent="0.35">
      <c r="K67">
        <f t="shared" si="8"/>
        <v>1984</v>
      </c>
      <c r="L67">
        <v>52.1</v>
      </c>
      <c r="M67">
        <v>47</v>
      </c>
      <c r="N67">
        <f t="shared" si="4"/>
        <v>0.525731584258325</v>
      </c>
      <c r="O67">
        <f t="shared" si="5"/>
        <v>0.47426841574167511</v>
      </c>
      <c r="P67">
        <v>253</v>
      </c>
      <c r="Q67">
        <v>181</v>
      </c>
      <c r="R67">
        <f t="shared" si="6"/>
        <v>0.58294930875576034</v>
      </c>
      <c r="S67">
        <f t="shared" si="7"/>
        <v>0.41705069124423966</v>
      </c>
    </row>
    <row r="68" spans="11:19" x14ac:dyDescent="0.35">
      <c r="K68">
        <f t="shared" si="8"/>
        <v>1986</v>
      </c>
      <c r="L68">
        <v>54.3</v>
      </c>
      <c r="M68">
        <v>44.4</v>
      </c>
      <c r="N68">
        <f t="shared" ref="N68:N87" si="13">L68/(L68+M68)</f>
        <v>0.55015197568389063</v>
      </c>
      <c r="O68">
        <f t="shared" ref="O68:O87" si="14">M68/(L68+M68)</f>
        <v>0.44984802431610948</v>
      </c>
      <c r="P68">
        <v>258</v>
      </c>
      <c r="Q68">
        <v>177</v>
      </c>
      <c r="R68">
        <f t="shared" ref="R68:R87" si="15">P68/(P68+Q68)</f>
        <v>0.59310344827586203</v>
      </c>
      <c r="S68">
        <f t="shared" ref="S68:S87" si="16">Q68/(P68+Q68)</f>
        <v>0.40689655172413791</v>
      </c>
    </row>
    <row r="69" spans="11:19" x14ac:dyDescent="0.35">
      <c r="K69">
        <f t="shared" ref="K69:K85" si="17">K68+2</f>
        <v>1988</v>
      </c>
      <c r="L69">
        <v>53.3</v>
      </c>
      <c r="M69">
        <v>45.6</v>
      </c>
      <c r="N69">
        <f t="shared" si="13"/>
        <v>0.53892821031344784</v>
      </c>
      <c r="O69">
        <f t="shared" si="14"/>
        <v>0.46107178968655205</v>
      </c>
      <c r="P69">
        <v>260</v>
      </c>
      <c r="Q69">
        <v>175</v>
      </c>
      <c r="R69">
        <f t="shared" si="15"/>
        <v>0.5977011494252874</v>
      </c>
      <c r="S69">
        <f t="shared" si="16"/>
        <v>0.40229885057471265</v>
      </c>
    </row>
    <row r="70" spans="11:19" x14ac:dyDescent="0.35">
      <c r="K70">
        <f t="shared" si="17"/>
        <v>1990</v>
      </c>
      <c r="L70">
        <v>52.1</v>
      </c>
      <c r="M70">
        <v>44.3</v>
      </c>
      <c r="N70">
        <f t="shared" si="13"/>
        <v>0.54045643153526968</v>
      </c>
      <c r="O70">
        <f t="shared" si="14"/>
        <v>0.45954356846473021</v>
      </c>
      <c r="P70">
        <v>267</v>
      </c>
      <c r="Q70">
        <v>167</v>
      </c>
      <c r="R70">
        <f t="shared" si="15"/>
        <v>0.61520737327188935</v>
      </c>
      <c r="S70">
        <f t="shared" si="16"/>
        <v>0.3847926267281106</v>
      </c>
    </row>
    <row r="71" spans="11:19" x14ac:dyDescent="0.35">
      <c r="K71">
        <f t="shared" si="17"/>
        <v>1992</v>
      </c>
      <c r="L71">
        <v>50.1</v>
      </c>
      <c r="M71">
        <v>45.1</v>
      </c>
      <c r="N71">
        <f t="shared" si="13"/>
        <v>0.52626050420168069</v>
      </c>
      <c r="O71">
        <f t="shared" si="14"/>
        <v>0.47373949579831931</v>
      </c>
      <c r="P71">
        <v>258</v>
      </c>
      <c r="Q71">
        <v>176</v>
      </c>
      <c r="R71">
        <f t="shared" si="15"/>
        <v>0.59447004608294929</v>
      </c>
      <c r="S71">
        <f t="shared" si="16"/>
        <v>0.40552995391705071</v>
      </c>
    </row>
    <row r="72" spans="11:19" x14ac:dyDescent="0.35">
      <c r="K72">
        <f t="shared" si="17"/>
        <v>1994</v>
      </c>
      <c r="L72">
        <v>44.7</v>
      </c>
      <c r="M72">
        <v>51.5</v>
      </c>
      <c r="N72">
        <f t="shared" si="13"/>
        <v>0.46465696465696466</v>
      </c>
      <c r="O72">
        <f t="shared" si="14"/>
        <v>0.53534303534303529</v>
      </c>
      <c r="P72">
        <v>204</v>
      </c>
      <c r="Q72">
        <v>230</v>
      </c>
      <c r="R72">
        <f t="shared" si="15"/>
        <v>0.47004608294930877</v>
      </c>
      <c r="S72">
        <f t="shared" si="16"/>
        <v>0.52995391705069128</v>
      </c>
    </row>
    <row r="73" spans="11:19" x14ac:dyDescent="0.35">
      <c r="K73">
        <f t="shared" si="17"/>
        <v>1996</v>
      </c>
      <c r="L73">
        <v>48.22</v>
      </c>
      <c r="M73">
        <v>48.15</v>
      </c>
      <c r="N73">
        <f t="shared" si="13"/>
        <v>0.50036318356334952</v>
      </c>
      <c r="O73">
        <f t="shared" si="14"/>
        <v>0.49963681643665037</v>
      </c>
      <c r="P73">
        <v>207</v>
      </c>
      <c r="Q73">
        <v>226</v>
      </c>
      <c r="R73">
        <f t="shared" si="15"/>
        <v>0.47806004618937642</v>
      </c>
      <c r="S73">
        <f t="shared" si="16"/>
        <v>0.52193995381062352</v>
      </c>
    </row>
    <row r="74" spans="11:19" x14ac:dyDescent="0.35">
      <c r="K74">
        <f t="shared" si="17"/>
        <v>1998</v>
      </c>
      <c r="L74">
        <v>47.3</v>
      </c>
      <c r="M74">
        <v>48.4</v>
      </c>
      <c r="N74">
        <f t="shared" si="13"/>
        <v>0.4942528735632184</v>
      </c>
      <c r="O74">
        <f t="shared" si="14"/>
        <v>0.50574712643678166</v>
      </c>
      <c r="P74">
        <v>211</v>
      </c>
      <c r="Q74">
        <v>223</v>
      </c>
      <c r="R74">
        <f t="shared" si="15"/>
        <v>0.48617511520737328</v>
      </c>
      <c r="S74">
        <f t="shared" si="16"/>
        <v>0.51382488479262678</v>
      </c>
    </row>
    <row r="75" spans="11:19" x14ac:dyDescent="0.35">
      <c r="K75">
        <f t="shared" si="17"/>
        <v>2000</v>
      </c>
      <c r="L75">
        <v>47.1</v>
      </c>
      <c r="M75">
        <v>47.6</v>
      </c>
      <c r="N75">
        <f t="shared" si="13"/>
        <v>0.49736008447729674</v>
      </c>
      <c r="O75">
        <f t="shared" si="14"/>
        <v>0.50263991552270326</v>
      </c>
      <c r="P75">
        <v>212</v>
      </c>
      <c r="Q75">
        <v>221</v>
      </c>
      <c r="R75">
        <f t="shared" si="15"/>
        <v>0.48960739030023093</v>
      </c>
      <c r="S75">
        <f t="shared" si="16"/>
        <v>0.51039260969976907</v>
      </c>
    </row>
    <row r="76" spans="11:19" x14ac:dyDescent="0.35">
      <c r="K76">
        <f t="shared" si="17"/>
        <v>2002</v>
      </c>
      <c r="L76">
        <v>45.2</v>
      </c>
      <c r="M76">
        <v>50</v>
      </c>
      <c r="N76">
        <f t="shared" si="13"/>
        <v>0.47478991596638659</v>
      </c>
      <c r="O76">
        <f t="shared" si="14"/>
        <v>0.52521008403361347</v>
      </c>
      <c r="P76">
        <v>205</v>
      </c>
      <c r="Q76">
        <v>229</v>
      </c>
      <c r="R76">
        <f t="shared" si="15"/>
        <v>0.47235023041474655</v>
      </c>
      <c r="S76">
        <f t="shared" si="16"/>
        <v>0.52764976958525345</v>
      </c>
    </row>
    <row r="77" spans="11:19" x14ac:dyDescent="0.35">
      <c r="K77">
        <f t="shared" si="17"/>
        <v>2004</v>
      </c>
      <c r="L77">
        <v>46.8</v>
      </c>
      <c r="M77">
        <v>49.4</v>
      </c>
      <c r="N77">
        <f t="shared" si="13"/>
        <v>0.48648648648648651</v>
      </c>
      <c r="O77">
        <f t="shared" si="14"/>
        <v>0.5135135135135136</v>
      </c>
      <c r="P77">
        <v>202</v>
      </c>
      <c r="Q77">
        <v>232</v>
      </c>
      <c r="R77">
        <f t="shared" si="15"/>
        <v>0.46543778801843316</v>
      </c>
      <c r="S77">
        <f t="shared" si="16"/>
        <v>0.53456221198156684</v>
      </c>
    </row>
    <row r="78" spans="11:19" x14ac:dyDescent="0.35">
      <c r="K78">
        <f t="shared" si="17"/>
        <v>2006</v>
      </c>
      <c r="L78">
        <v>52.3</v>
      </c>
      <c r="M78">
        <v>44.3</v>
      </c>
      <c r="N78">
        <f t="shared" si="13"/>
        <v>0.54140786749482406</v>
      </c>
      <c r="O78">
        <f t="shared" si="14"/>
        <v>0.458592132505176</v>
      </c>
      <c r="P78">
        <v>233</v>
      </c>
      <c r="Q78">
        <v>202</v>
      </c>
      <c r="R78">
        <f t="shared" si="15"/>
        <v>0.53563218390804601</v>
      </c>
      <c r="S78">
        <f t="shared" si="16"/>
        <v>0.46436781609195404</v>
      </c>
    </row>
    <row r="79" spans="11:19" x14ac:dyDescent="0.35">
      <c r="K79">
        <f t="shared" si="17"/>
        <v>2008</v>
      </c>
      <c r="L79">
        <v>53.2</v>
      </c>
      <c r="M79">
        <v>42.6</v>
      </c>
      <c r="N79">
        <f t="shared" si="13"/>
        <v>0.55532359081419624</v>
      </c>
      <c r="O79">
        <f t="shared" si="14"/>
        <v>0.4446764091858037</v>
      </c>
      <c r="P79">
        <v>257</v>
      </c>
      <c r="Q79">
        <v>178</v>
      </c>
      <c r="R79">
        <f t="shared" si="15"/>
        <v>0.59080459770114946</v>
      </c>
      <c r="S79">
        <f t="shared" si="16"/>
        <v>0.4091954022988506</v>
      </c>
    </row>
    <row r="80" spans="11:19" x14ac:dyDescent="0.35">
      <c r="K80">
        <f t="shared" si="17"/>
        <v>2010</v>
      </c>
      <c r="L80">
        <v>44.9</v>
      </c>
      <c r="M80">
        <v>51.7</v>
      </c>
      <c r="N80">
        <f t="shared" si="13"/>
        <v>0.46480331262939961</v>
      </c>
      <c r="O80">
        <f t="shared" si="14"/>
        <v>0.53519668737060044</v>
      </c>
      <c r="P80">
        <v>193</v>
      </c>
      <c r="Q80">
        <v>242</v>
      </c>
      <c r="R80">
        <f t="shared" si="15"/>
        <v>0.44367816091954021</v>
      </c>
      <c r="S80">
        <f t="shared" si="16"/>
        <v>0.55632183908045973</v>
      </c>
    </row>
    <row r="81" spans="11:19" x14ac:dyDescent="0.35">
      <c r="K81">
        <f t="shared" si="17"/>
        <v>2012</v>
      </c>
      <c r="L81">
        <v>48.8</v>
      </c>
      <c r="M81">
        <v>47.7</v>
      </c>
      <c r="N81">
        <f t="shared" si="13"/>
        <v>0.50569948186528491</v>
      </c>
      <c r="O81">
        <f t="shared" si="14"/>
        <v>0.49430051813471504</v>
      </c>
      <c r="P81">
        <v>201</v>
      </c>
      <c r="Q81">
        <v>234</v>
      </c>
      <c r="R81">
        <f t="shared" si="15"/>
        <v>0.46206896551724136</v>
      </c>
      <c r="S81">
        <f t="shared" si="16"/>
        <v>0.53793103448275859</v>
      </c>
    </row>
    <row r="82" spans="11:19" x14ac:dyDescent="0.35">
      <c r="K82">
        <f t="shared" si="17"/>
        <v>2014</v>
      </c>
      <c r="L82">
        <v>45.5</v>
      </c>
      <c r="M82">
        <v>51.2</v>
      </c>
      <c r="N82">
        <f t="shared" si="13"/>
        <v>0.47052740434332985</v>
      </c>
      <c r="O82">
        <f t="shared" si="14"/>
        <v>0.52947259565667015</v>
      </c>
      <c r="P82">
        <v>188</v>
      </c>
      <c r="Q82">
        <v>247</v>
      </c>
      <c r="R82">
        <f t="shared" si="15"/>
        <v>0.43218390804597701</v>
      </c>
      <c r="S82">
        <f t="shared" si="16"/>
        <v>0.56781609195402294</v>
      </c>
    </row>
    <row r="83" spans="11:19" x14ac:dyDescent="0.35">
      <c r="K83">
        <f t="shared" si="17"/>
        <v>2016</v>
      </c>
      <c r="L83">
        <v>47.3</v>
      </c>
      <c r="M83">
        <v>48.3</v>
      </c>
      <c r="N83">
        <f t="shared" si="13"/>
        <v>0.49476987447698745</v>
      </c>
      <c r="O83">
        <f t="shared" si="14"/>
        <v>0.50523012552301261</v>
      </c>
      <c r="P83">
        <v>194</v>
      </c>
      <c r="Q83">
        <v>241</v>
      </c>
      <c r="R83">
        <f t="shared" si="15"/>
        <v>0.4459770114942529</v>
      </c>
      <c r="S83">
        <f t="shared" si="16"/>
        <v>0.55402298850574716</v>
      </c>
    </row>
    <row r="84" spans="11:19" x14ac:dyDescent="0.35">
      <c r="K84">
        <f t="shared" si="17"/>
        <v>2018</v>
      </c>
      <c r="L84">
        <v>53.4</v>
      </c>
      <c r="M84">
        <v>44.8</v>
      </c>
      <c r="N84">
        <f t="shared" si="13"/>
        <v>0.54378818737270884</v>
      </c>
      <c r="O84">
        <f t="shared" si="14"/>
        <v>0.45621181262729127</v>
      </c>
      <c r="P84">
        <v>235</v>
      </c>
      <c r="Q84">
        <v>199</v>
      </c>
      <c r="R84">
        <f t="shared" si="15"/>
        <v>0.54147465437788023</v>
      </c>
      <c r="S84">
        <f t="shared" si="16"/>
        <v>0.45852534562211983</v>
      </c>
    </row>
    <row r="85" spans="11:19" x14ac:dyDescent="0.35">
      <c r="K85">
        <f t="shared" si="17"/>
        <v>2020</v>
      </c>
      <c r="L85">
        <v>50.3</v>
      </c>
      <c r="M85">
        <v>47.2</v>
      </c>
      <c r="N85">
        <f t="shared" si="13"/>
        <v>0.51589743589743586</v>
      </c>
      <c r="O85">
        <f t="shared" si="14"/>
        <v>0.48410256410256414</v>
      </c>
      <c r="P85">
        <v>222</v>
      </c>
      <c r="Q85">
        <v>213</v>
      </c>
      <c r="R85">
        <f t="shared" si="15"/>
        <v>0.51034482758620692</v>
      </c>
      <c r="S85">
        <f t="shared" si="16"/>
        <v>0.48965517241379308</v>
      </c>
    </row>
    <row r="86" spans="11:19" x14ac:dyDescent="0.35">
      <c r="K86">
        <f>K85+2</f>
        <v>2022</v>
      </c>
      <c r="L86">
        <v>47.3</v>
      </c>
      <c r="M86">
        <v>50</v>
      </c>
      <c r="N86">
        <f t="shared" si="13"/>
        <v>0.48612538540596095</v>
      </c>
      <c r="O86">
        <f t="shared" si="14"/>
        <v>0.51387461459403905</v>
      </c>
      <c r="P86">
        <v>213</v>
      </c>
      <c r="Q86">
        <v>222</v>
      </c>
      <c r="R86">
        <f t="shared" si="15"/>
        <v>0.48965517241379308</v>
      </c>
      <c r="S86">
        <f t="shared" si="16"/>
        <v>0.51034482758620692</v>
      </c>
    </row>
    <row r="87" spans="11:19" x14ac:dyDescent="0.35">
      <c r="K87">
        <f t="shared" ref="K87" si="18">K86+2</f>
        <v>2024</v>
      </c>
      <c r="L87">
        <v>47.2</v>
      </c>
      <c r="M87">
        <v>49.8</v>
      </c>
      <c r="N87">
        <f t="shared" si="13"/>
        <v>0.48659793814432994</v>
      </c>
      <c r="O87">
        <f t="shared" si="14"/>
        <v>0.51340206185567006</v>
      </c>
      <c r="P87">
        <v>215</v>
      </c>
      <c r="Q87">
        <v>220</v>
      </c>
      <c r="R87">
        <f t="shared" si="15"/>
        <v>0.4942528735632184</v>
      </c>
      <c r="S87">
        <f t="shared" si="16"/>
        <v>0.50574712643678166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 Bala</dc:creator>
  <cp:lastModifiedBy>Shark Bala</cp:lastModifiedBy>
  <dcterms:created xsi:type="dcterms:W3CDTF">2015-06-05T18:17:20Z</dcterms:created>
  <dcterms:modified xsi:type="dcterms:W3CDTF">2025-12-02T21:15:21Z</dcterms:modified>
</cp:coreProperties>
</file>